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mard\Documents\2- Scuola\4- FHGR\Computer Science\Project\toUpload\"/>
    </mc:Choice>
  </mc:AlternateContent>
  <xr:revisionPtr revIDLastSave="0" documentId="13_ncr:2001_{473F4F97-DBE5-4714-A8FD-1AFCCC104BB9}" xr6:coauthVersionLast="47" xr6:coauthVersionMax="47" xr10:uidLastSave="{00000000-0000-0000-0000-000000000000}"/>
  <bookViews>
    <workbookView xWindow="30600" yWindow="-120" windowWidth="29040" windowHeight="15720" tabRatio="642" xr2:uid="{00000000-000D-0000-FFFF-FFFF00000000}"/>
  </bookViews>
  <sheets>
    <sheet name="Overview Stock-data" sheetId="1" r:id="rId1"/>
    <sheet name="Graphics" sheetId="10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0" l="1"/>
  <c r="C13" i="10"/>
  <c r="C14" i="10"/>
  <c r="C15" i="10"/>
  <c r="C16" i="10"/>
  <c r="C17" i="10"/>
  <c r="C11" i="10"/>
  <c r="B11" i="10"/>
  <c r="B12" i="10"/>
  <c r="B13" i="10"/>
  <c r="B14" i="10"/>
  <c r="B15" i="10"/>
  <c r="B16" i="10"/>
  <c r="B17" i="10"/>
  <c r="C3" i="10"/>
  <c r="C4" i="10"/>
  <c r="C5" i="10"/>
  <c r="C6" i="10"/>
  <c r="C7" i="10"/>
  <c r="C8" i="10"/>
  <c r="C2" i="10"/>
  <c r="B3" i="10"/>
  <c r="B4" i="10"/>
  <c r="B5" i="10"/>
  <c r="B6" i="10"/>
  <c r="B7" i="10"/>
  <c r="B8" i="10"/>
  <c r="B2" i="10"/>
  <c r="S12" i="1"/>
  <c r="S13" i="1"/>
  <c r="S14" i="1"/>
  <c r="S15" i="1"/>
  <c r="S16" i="1"/>
  <c r="S17" i="1"/>
  <c r="S24" i="1"/>
  <c r="S25" i="1"/>
  <c r="S26" i="1"/>
  <c r="S27" i="1"/>
  <c r="S28" i="1"/>
  <c r="S29" i="1"/>
  <c r="S30" i="1"/>
  <c r="S31" i="1"/>
  <c r="S32" i="1"/>
  <c r="S33" i="1"/>
  <c r="S44" i="1"/>
  <c r="S45" i="1"/>
  <c r="S46" i="1"/>
  <c r="S47" i="1"/>
  <c r="S48" i="1"/>
  <c r="S49" i="1"/>
  <c r="S56" i="1"/>
  <c r="S57" i="1"/>
  <c r="S58" i="1"/>
  <c r="S60" i="1"/>
  <c r="S61" i="1"/>
  <c r="S62" i="1"/>
  <c r="S63" i="1"/>
  <c r="S64" i="1"/>
  <c r="S65" i="1"/>
  <c r="S76" i="1"/>
  <c r="S77" i="1"/>
  <c r="S78" i="1"/>
  <c r="S79" i="1"/>
  <c r="S80" i="1"/>
  <c r="S81" i="1"/>
  <c r="S92" i="1"/>
  <c r="S93" i="1"/>
  <c r="S94" i="1"/>
  <c r="S95" i="1"/>
  <c r="S96" i="1"/>
  <c r="S97" i="1"/>
  <c r="O8" i="1"/>
  <c r="O9" i="1"/>
  <c r="O10" i="1"/>
  <c r="O11" i="1"/>
  <c r="O12" i="1"/>
  <c r="O13" i="1"/>
  <c r="O14" i="1"/>
  <c r="O15" i="1"/>
  <c r="O16" i="1"/>
  <c r="O17" i="1"/>
  <c r="O28" i="1"/>
  <c r="O29" i="1"/>
  <c r="O30" i="1"/>
  <c r="O31" i="1"/>
  <c r="O32" i="1"/>
  <c r="O33" i="1"/>
  <c r="O40" i="1"/>
  <c r="O44" i="1"/>
  <c r="O45" i="1"/>
  <c r="O46" i="1"/>
  <c r="O47" i="1"/>
  <c r="O48" i="1"/>
  <c r="O49" i="1"/>
  <c r="O56" i="1"/>
  <c r="O57" i="1"/>
  <c r="O58" i="1"/>
  <c r="O59" i="1"/>
  <c r="O60" i="1"/>
  <c r="O61" i="1"/>
  <c r="O62" i="1"/>
  <c r="O63" i="1"/>
  <c r="O64" i="1"/>
  <c r="O65" i="1"/>
  <c r="O76" i="1"/>
  <c r="O77" i="1"/>
  <c r="O78" i="1"/>
  <c r="O79" i="1"/>
  <c r="O80" i="1"/>
  <c r="O81" i="1"/>
  <c r="O88" i="1"/>
  <c r="O89" i="1"/>
  <c r="O90" i="1"/>
  <c r="O92" i="1"/>
  <c r="O93" i="1"/>
  <c r="O94" i="1"/>
  <c r="O95" i="1"/>
  <c r="O96" i="1"/>
  <c r="O97" i="1"/>
  <c r="J28" i="1"/>
  <c r="J29" i="1"/>
  <c r="J30" i="1"/>
  <c r="J31" i="1"/>
  <c r="J32" i="1"/>
  <c r="J57" i="1"/>
  <c r="J58" i="1"/>
  <c r="J59" i="1"/>
  <c r="J60" i="1"/>
  <c r="J61" i="1"/>
  <c r="J62" i="1"/>
  <c r="J76" i="1"/>
  <c r="J77" i="1"/>
  <c r="J78" i="1"/>
  <c r="J79" i="1"/>
  <c r="J80" i="1"/>
  <c r="J81" i="1"/>
  <c r="J89" i="1"/>
  <c r="J90" i="1"/>
  <c r="J91" i="1"/>
  <c r="J92" i="1"/>
  <c r="F9" i="1"/>
  <c r="F10" i="1"/>
  <c r="F12" i="1"/>
  <c r="F13" i="1"/>
  <c r="F44" i="1"/>
  <c r="F45" i="1"/>
  <c r="F46" i="1"/>
  <c r="F47" i="1"/>
  <c r="F48" i="1"/>
  <c r="F49" i="1"/>
  <c r="F73" i="1"/>
  <c r="F76" i="1"/>
  <c r="F77" i="1"/>
  <c r="F78" i="1"/>
  <c r="F79" i="1"/>
  <c r="N2" i="1"/>
  <c r="O2" i="1" s="1"/>
  <c r="N3" i="1"/>
  <c r="O3" i="1" s="1"/>
  <c r="N4" i="1"/>
  <c r="O4" i="1" s="1"/>
  <c r="N5" i="1"/>
  <c r="O5" i="1" s="1"/>
  <c r="N6" i="1"/>
  <c r="O6" i="1" s="1"/>
  <c r="N7" i="1"/>
  <c r="O7" i="1" s="1"/>
  <c r="N8" i="1"/>
  <c r="N9" i="1"/>
  <c r="N10" i="1"/>
  <c r="N11" i="1"/>
  <c r="N12" i="1"/>
  <c r="N13" i="1"/>
  <c r="N14" i="1"/>
  <c r="N15" i="1"/>
  <c r="N16" i="1"/>
  <c r="N17" i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26" i="1"/>
  <c r="O26" i="1" s="1"/>
  <c r="N27" i="1"/>
  <c r="O27" i="1" s="1"/>
  <c r="N28" i="1"/>
  <c r="N29" i="1"/>
  <c r="N30" i="1"/>
  <c r="N31" i="1"/>
  <c r="N32" i="1"/>
  <c r="N33" i="1"/>
  <c r="N34" i="1"/>
  <c r="O34" i="1" s="1"/>
  <c r="N35" i="1"/>
  <c r="O35" i="1" s="1"/>
  <c r="N36" i="1"/>
  <c r="O36" i="1" s="1"/>
  <c r="N37" i="1"/>
  <c r="O37" i="1" s="1"/>
  <c r="N38" i="1"/>
  <c r="O38" i="1" s="1"/>
  <c r="N39" i="1"/>
  <c r="O39" i="1" s="1"/>
  <c r="N40" i="1"/>
  <c r="N41" i="1"/>
  <c r="O41" i="1" s="1"/>
  <c r="N42" i="1"/>
  <c r="O42" i="1" s="1"/>
  <c r="N43" i="1"/>
  <c r="O43" i="1" s="1"/>
  <c r="N44" i="1"/>
  <c r="N45" i="1"/>
  <c r="N46" i="1"/>
  <c r="N47" i="1"/>
  <c r="N48" i="1"/>
  <c r="N49" i="1"/>
  <c r="N50" i="1"/>
  <c r="O50" i="1" s="1"/>
  <c r="N51" i="1"/>
  <c r="O51" i="1" s="1"/>
  <c r="N52" i="1"/>
  <c r="O52" i="1" s="1"/>
  <c r="N53" i="1"/>
  <c r="O53" i="1" s="1"/>
  <c r="N54" i="1"/>
  <c r="O54" i="1" s="1"/>
  <c r="N55" i="1"/>
  <c r="O55" i="1" s="1"/>
  <c r="N56" i="1"/>
  <c r="N57" i="1"/>
  <c r="N58" i="1"/>
  <c r="N59" i="1"/>
  <c r="N60" i="1"/>
  <c r="N61" i="1"/>
  <c r="N62" i="1"/>
  <c r="N63" i="1"/>
  <c r="N64" i="1"/>
  <c r="N65" i="1"/>
  <c r="N66" i="1"/>
  <c r="O66" i="1" s="1"/>
  <c r="N67" i="1"/>
  <c r="O67" i="1" s="1"/>
  <c r="N68" i="1"/>
  <c r="O68" i="1" s="1"/>
  <c r="N69" i="1"/>
  <c r="O69" i="1" s="1"/>
  <c r="N70" i="1"/>
  <c r="O70" i="1" s="1"/>
  <c r="N71" i="1"/>
  <c r="O71" i="1" s="1"/>
  <c r="N72" i="1"/>
  <c r="O72" i="1" s="1"/>
  <c r="N73" i="1"/>
  <c r="O73" i="1" s="1"/>
  <c r="N74" i="1"/>
  <c r="O74" i="1" s="1"/>
  <c r="N75" i="1"/>
  <c r="O75" i="1" s="1"/>
  <c r="N76" i="1"/>
  <c r="N77" i="1"/>
  <c r="N78" i="1"/>
  <c r="N79" i="1"/>
  <c r="N80" i="1"/>
  <c r="N81" i="1"/>
  <c r="N82" i="1"/>
  <c r="O82" i="1" s="1"/>
  <c r="N83" i="1"/>
  <c r="O83" i="1" s="1"/>
  <c r="N84" i="1"/>
  <c r="O84" i="1" s="1"/>
  <c r="N85" i="1"/>
  <c r="O85" i="1" s="1"/>
  <c r="N86" i="1"/>
  <c r="O86" i="1" s="1"/>
  <c r="N87" i="1"/>
  <c r="O87" i="1" s="1"/>
  <c r="N88" i="1"/>
  <c r="N89" i="1"/>
  <c r="N90" i="1"/>
  <c r="N91" i="1"/>
  <c r="O91" i="1" s="1"/>
  <c r="N92" i="1"/>
  <c r="N93" i="1"/>
  <c r="N94" i="1"/>
  <c r="N95" i="1"/>
  <c r="N96" i="1"/>
  <c r="N97" i="1"/>
  <c r="R2" i="1"/>
  <c r="S2" i="1" s="1"/>
  <c r="R3" i="1"/>
  <c r="S3" i="1" s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R13" i="1"/>
  <c r="R14" i="1"/>
  <c r="R15" i="1"/>
  <c r="R16" i="1"/>
  <c r="R17" i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R25" i="1"/>
  <c r="R26" i="1"/>
  <c r="R27" i="1"/>
  <c r="R28" i="1"/>
  <c r="R29" i="1"/>
  <c r="R30" i="1"/>
  <c r="R31" i="1"/>
  <c r="R32" i="1"/>
  <c r="R33" i="1"/>
  <c r="R34" i="1"/>
  <c r="S34" i="1" s="1"/>
  <c r="R35" i="1"/>
  <c r="S35" i="1" s="1"/>
  <c r="R36" i="1"/>
  <c r="S36" i="1" s="1"/>
  <c r="R37" i="1"/>
  <c r="S37" i="1" s="1"/>
  <c r="R38" i="1"/>
  <c r="S38" i="1" s="1"/>
  <c r="R39" i="1"/>
  <c r="S39" i="1" s="1"/>
  <c r="R40" i="1"/>
  <c r="S40" i="1" s="1"/>
  <c r="R41" i="1"/>
  <c r="S41" i="1" s="1"/>
  <c r="R42" i="1"/>
  <c r="S42" i="1" s="1"/>
  <c r="R43" i="1"/>
  <c r="S43" i="1" s="1"/>
  <c r="R44" i="1"/>
  <c r="R45" i="1"/>
  <c r="R46" i="1"/>
  <c r="R47" i="1"/>
  <c r="R48" i="1"/>
  <c r="R49" i="1"/>
  <c r="R50" i="1"/>
  <c r="S50" i="1" s="1"/>
  <c r="R51" i="1"/>
  <c r="S51" i="1" s="1"/>
  <c r="R52" i="1"/>
  <c r="S52" i="1" s="1"/>
  <c r="R53" i="1"/>
  <c r="S53" i="1" s="1"/>
  <c r="R54" i="1"/>
  <c r="S54" i="1" s="1"/>
  <c r="R55" i="1"/>
  <c r="S55" i="1" s="1"/>
  <c r="R56" i="1"/>
  <c r="R57" i="1"/>
  <c r="R58" i="1"/>
  <c r="R59" i="1"/>
  <c r="S59" i="1" s="1"/>
  <c r="R60" i="1"/>
  <c r="R61" i="1"/>
  <c r="R62" i="1"/>
  <c r="R63" i="1"/>
  <c r="R64" i="1"/>
  <c r="R65" i="1"/>
  <c r="R66" i="1"/>
  <c r="S66" i="1" s="1"/>
  <c r="R67" i="1"/>
  <c r="S67" i="1" s="1"/>
  <c r="R68" i="1"/>
  <c r="S68" i="1" s="1"/>
  <c r="R69" i="1"/>
  <c r="S69" i="1" s="1"/>
  <c r="R70" i="1"/>
  <c r="S70" i="1" s="1"/>
  <c r="R71" i="1"/>
  <c r="S71" i="1" s="1"/>
  <c r="R72" i="1"/>
  <c r="S72" i="1" s="1"/>
  <c r="R73" i="1"/>
  <c r="S73" i="1" s="1"/>
  <c r="R74" i="1"/>
  <c r="S74" i="1" s="1"/>
  <c r="R75" i="1"/>
  <c r="S75" i="1" s="1"/>
  <c r="R76" i="1"/>
  <c r="R77" i="1"/>
  <c r="R78" i="1"/>
  <c r="R79" i="1"/>
  <c r="R80" i="1"/>
  <c r="R81" i="1"/>
  <c r="R82" i="1"/>
  <c r="S82" i="1" s="1"/>
  <c r="R83" i="1"/>
  <c r="S83" i="1" s="1"/>
  <c r="R84" i="1"/>
  <c r="S84" i="1" s="1"/>
  <c r="R85" i="1"/>
  <c r="S85" i="1" s="1"/>
  <c r="R86" i="1"/>
  <c r="S86" i="1" s="1"/>
  <c r="R87" i="1"/>
  <c r="S87" i="1" s="1"/>
  <c r="R88" i="1"/>
  <c r="S88" i="1" s="1"/>
  <c r="R89" i="1"/>
  <c r="S89" i="1" s="1"/>
  <c r="R90" i="1"/>
  <c r="S90" i="1" s="1"/>
  <c r="R91" i="1"/>
  <c r="S91" i="1" s="1"/>
  <c r="R92" i="1"/>
  <c r="R93" i="1"/>
  <c r="R94" i="1"/>
  <c r="R95" i="1"/>
  <c r="R96" i="1"/>
  <c r="R97" i="1"/>
  <c r="E2" i="1"/>
  <c r="F2" i="1" s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E10" i="1"/>
  <c r="E11" i="1"/>
  <c r="F11" i="1" s="1"/>
  <c r="E12" i="1"/>
  <c r="E13" i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E45" i="1"/>
  <c r="E46" i="1"/>
  <c r="E47" i="1"/>
  <c r="E48" i="1"/>
  <c r="E49" i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E74" i="1"/>
  <c r="F74" i="1" s="1"/>
  <c r="E75" i="1"/>
  <c r="F75" i="1" s="1"/>
  <c r="E76" i="1"/>
  <c r="E77" i="1"/>
  <c r="E78" i="1"/>
  <c r="E79" i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I2" i="1"/>
  <c r="J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I29" i="1"/>
  <c r="I30" i="1"/>
  <c r="I31" i="1"/>
  <c r="I32" i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I58" i="1"/>
  <c r="I59" i="1"/>
  <c r="I60" i="1"/>
  <c r="I61" i="1"/>
  <c r="I62" i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I77" i="1"/>
  <c r="I78" i="1"/>
  <c r="I79" i="1"/>
  <c r="I80" i="1"/>
  <c r="I81" i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I90" i="1"/>
  <c r="I91" i="1"/>
  <c r="I92" i="1"/>
  <c r="I93" i="1"/>
  <c r="J93" i="1" s="1"/>
  <c r="I94" i="1"/>
  <c r="J94" i="1" s="1"/>
  <c r="I95" i="1"/>
  <c r="J95" i="1" s="1"/>
  <c r="I96" i="1"/>
  <c r="J96" i="1" s="1"/>
  <c r="I97" i="1"/>
  <c r="J97" i="1" s="1"/>
</calcChain>
</file>

<file path=xl/sharedStrings.xml><?xml version="1.0" encoding="utf-8"?>
<sst xmlns="http://schemas.openxmlformats.org/spreadsheetml/2006/main" count="135" uniqueCount="127">
  <si>
    <t>Date</t>
  </si>
  <si>
    <t>Opening StockData</t>
  </si>
  <si>
    <t>Opening Alphavantage</t>
  </si>
  <si>
    <t>Opening MarketStack adj</t>
  </si>
  <si>
    <t>Opening MarketStack unAdj</t>
  </si>
  <si>
    <t>Diff opening adj</t>
  </si>
  <si>
    <t>Closing StockData</t>
  </si>
  <si>
    <t>Closing Alphavantage</t>
  </si>
  <si>
    <t>Closing MarketStack adj</t>
  </si>
  <si>
    <t>Closing MarketStack unAdj</t>
  </si>
  <si>
    <t>Diff closing adj</t>
  </si>
  <si>
    <t>2025-12-04</t>
  </si>
  <si>
    <t>2025-12-03</t>
  </si>
  <si>
    <t>2025-12-01</t>
  </si>
  <si>
    <t>2025-11-28</t>
  </si>
  <si>
    <t>2025-11-26</t>
  </si>
  <si>
    <t>2025-11-25</t>
  </si>
  <si>
    <t>2025-11-24</t>
  </si>
  <si>
    <t>2025-11-21</t>
  </si>
  <si>
    <t>2025-11-20</t>
  </si>
  <si>
    <t>2025-11-19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</si>
  <si>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</si>
  <si>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</si>
  <si>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</si>
  <si>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</si>
  <si>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</si>
  <si>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</si>
  <si>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</si>
  <si>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</si>
  <si>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</si>
  <si>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</si>
  <si>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</si>
  <si>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</si>
  <si>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</si>
  <si>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</si>
  <si>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</si>
  <si>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</si>
  <si>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</si>
  <si>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</si>
  <si>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</si>
  <si>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</si>
  <si>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</si>
  <si>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</si>
  <si>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</si>
  <si>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</si>
  <si>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</si>
  <si>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</si>
  <si>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</si>
  <si>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</si>
  <si>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</si>
  <si>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</si>
  <si>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</si>
  <si>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</si>
  <si>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</si>
  <si>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</si>
  <si>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</si>
  <si>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</si>
  <si>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</si>
  <si>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</si>
  <si>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</si>
  <si>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</si>
  <si>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</si>
  <si>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</si>
  <si>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</si>
  <si>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</si>
  <si>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</si>
  <si>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</si>
  <si>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</si>
  <si>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</si>
  <si>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</si>
  <si>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</si>
  <si>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</si>
  <si>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</si>
  <si>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</si>
  <si>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</si>
  <si>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</si>
  <si>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</si>
  <si>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</si>
  <si>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</si>
  <si>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</si>
  <si>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</si>
  <si>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</si>
  <si>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</si>
  <si>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</si>
  <si>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</si>
  <si>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</si>
  <si>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</si>
  <si>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</si>
  <si>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</si>
  <si>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</si>
  <si>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</si>
  <si>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</si>
  <si>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</si>
  <si>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</si>
  <si>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</si>
  <si>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</si>
  <si>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</si>
  <si>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</si>
  <si>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</si>
  <si>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</si>
  <si>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</si>
  <si>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</si>
  <si>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</si>
  <si>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</si>
  <si>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</si>
  <si>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</si>
  <si>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</si>
  <si>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Opening-SIX</t>
  </si>
  <si>
    <t>Closing SIX</t>
  </si>
  <si>
    <t>Diff SIX to API</t>
  </si>
  <si>
    <t>diff closing SIX to API</t>
  </si>
  <si>
    <t>0</t>
  </si>
  <si>
    <t>0 - 0.20</t>
  </si>
  <si>
    <t>0.20 - 0.40</t>
  </si>
  <si>
    <t>0.40 - 0.60</t>
  </si>
  <si>
    <t>0.60 - 0.80</t>
  </si>
  <si>
    <t>0.80 - 1.00</t>
  </si>
  <si>
    <t>1.00 &lt;</t>
  </si>
  <si>
    <t>Categorized diff adj prices opening</t>
  </si>
  <si>
    <t>Categorized diff unadj prices opening</t>
  </si>
  <si>
    <t>Categorized diff unadj prices closing</t>
  </si>
  <si>
    <t>Categorized diff adj prices closing</t>
  </si>
  <si>
    <t>Category</t>
  </si>
  <si>
    <t>Diff. unadjusted prices opening</t>
  </si>
  <si>
    <t>Diff. adjusted prices opening</t>
  </si>
  <si>
    <t>Diff. unadjusted prices closing</t>
  </si>
  <si>
    <t>Diff. adjusted prices closing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</si>
</sst>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18">
    <dxf>
      <numFmt numFmtId="0" formatCode="General"/>
      <fill>
        <patternFill patternType="solid">
          <fgColor indexed="64"/>
          <bgColor theme="5" tint="0.79998168889431442"/>
        </patternFill>
      </fill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numFmt numFmtId="0" formatCode="General"/>
      <fill>
        <patternFill patternType="solid">
          <fgColor indexed="64"/>
          <bgColor theme="3" tint="0.79998168889431442"/>
        </patternFill>
      </fill>
    </dxf>
    <dxf>
      <numFmt numFmtId="0" formatCode="General"/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numFmt numFmtId="0" formatCode="General"/>
      <fill>
        <patternFill patternType="solid">
          <fgColor indexed="64"/>
          <bgColor theme="3" tint="0.79998168889431442"/>
        </patternFill>
      </fill>
    </dxf>
    <dxf>
      <numFmt numFmtId="0" formatCode="General"/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numFmt numFmtId="0" formatCode="General"/>
      <fill>
        <patternFill patternType="solid">
          <fgColor indexed="64"/>
          <bgColor theme="3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Categorized differences</a:t>
            </a:r>
            <a:r>
              <a:rPr lang="en-GB" baseline="0"/>
              <a:t> opening prices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Graphics!$B$1</c:f>
              <c:strCache>
                <c:ptCount val="1"/>
                <c:pt idx="0">
                  <c:v>Diff. unadjusted prices opening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Graphics!$A$2:$A$8</c:f>
              <c:strCache>
                <c:ptCount val="7"/>
                <c:pt idx="0">
                  <c:v>0</c:v>
                </c:pt>
                <c:pt idx="1">
                  <c:v>0 - 0.20</c:v>
                </c:pt>
                <c:pt idx="2">
                  <c:v>0.20 - 0.40</c:v>
                </c:pt>
                <c:pt idx="3">
                  <c:v>0.40 - 0.60</c:v>
                </c:pt>
                <c:pt idx="4">
                  <c:v>0.60 - 0.80</c:v>
                </c:pt>
                <c:pt idx="5">
                  <c:v>0.80 - 1.00</c:v>
                </c:pt>
                <c:pt idx="6">
                  <c:v>1.00 &lt;</c:v>
                </c:pt>
              </c:strCache>
            </c:strRef>
          </c:cat>
          <c:val>
            <c:numRef>
              <c:f>Graphics!$B$2:$B$8</c:f>
              <c:numCache>
                <c:formatCode>General</c:formatCode>
                <c:ptCount val="7"/>
                <c:pt idx="0">
                  <c:v>42</c:v>
                </c:pt>
                <c:pt idx="1">
                  <c:v>17</c:v>
                </c:pt>
                <c:pt idx="2">
                  <c:v>19</c:v>
                </c:pt>
                <c:pt idx="3">
                  <c:v>7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63-4E6C-A920-285CE05E7830}"/>
            </c:ext>
          </c:extLst>
        </c:ser>
        <c:ser>
          <c:idx val="1"/>
          <c:order val="1"/>
          <c:tx>
            <c:strRef>
              <c:f>Graphics!$C$1</c:f>
              <c:strCache>
                <c:ptCount val="1"/>
                <c:pt idx="0">
                  <c:v>Diff. adjusted prices opening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Graphics!$A$2:$A$8</c:f>
              <c:strCache>
                <c:ptCount val="7"/>
                <c:pt idx="0">
                  <c:v>0</c:v>
                </c:pt>
                <c:pt idx="1">
                  <c:v>0 - 0.20</c:v>
                </c:pt>
                <c:pt idx="2">
                  <c:v>0.20 - 0.40</c:v>
                </c:pt>
                <c:pt idx="3">
                  <c:v>0.40 - 0.60</c:v>
                </c:pt>
                <c:pt idx="4">
                  <c:v>0.60 - 0.80</c:v>
                </c:pt>
                <c:pt idx="5">
                  <c:v>0.80 - 1.00</c:v>
                </c:pt>
                <c:pt idx="6">
                  <c:v>1.00 &lt;</c:v>
                </c:pt>
              </c:strCache>
            </c:strRef>
          </c:cat>
          <c:val>
            <c:numRef>
              <c:f>Graphics!$C$2:$C$8</c:f>
              <c:numCache>
                <c:formatCode>General</c:formatCode>
                <c:ptCount val="7"/>
                <c:pt idx="0">
                  <c:v>4</c:v>
                </c:pt>
                <c:pt idx="1">
                  <c:v>45</c:v>
                </c:pt>
                <c:pt idx="2">
                  <c:v>23</c:v>
                </c:pt>
                <c:pt idx="3">
                  <c:v>9</c:v>
                </c:pt>
                <c:pt idx="4">
                  <c:v>10</c:v>
                </c:pt>
                <c:pt idx="5">
                  <c:v>2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63-4E6C-A920-285CE05E7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6498975"/>
        <c:axId val="1016499455"/>
      </c:barChart>
      <c:catAx>
        <c:axId val="1016498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016499455"/>
        <c:crosses val="autoZero"/>
        <c:auto val="1"/>
        <c:lblAlgn val="ctr"/>
        <c:lblOffset val="100"/>
        <c:noMultiLvlLbl val="0"/>
      </c:catAx>
      <c:valAx>
        <c:axId val="101649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016498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Categorized differences closing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Graphics!$B$10</c:f>
              <c:strCache>
                <c:ptCount val="1"/>
                <c:pt idx="0">
                  <c:v>Diff. unadjusted prices closing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Graphics!$A$11:$A$17</c:f>
              <c:strCache>
                <c:ptCount val="7"/>
                <c:pt idx="0">
                  <c:v>0</c:v>
                </c:pt>
                <c:pt idx="1">
                  <c:v>0 - 0.20</c:v>
                </c:pt>
                <c:pt idx="2">
                  <c:v>0.20 - 0.40</c:v>
                </c:pt>
                <c:pt idx="3">
                  <c:v>0.40 - 0.60</c:v>
                </c:pt>
                <c:pt idx="4">
                  <c:v>0.60 - 0.80</c:v>
                </c:pt>
                <c:pt idx="5">
                  <c:v>0.80 - 1.00</c:v>
                </c:pt>
                <c:pt idx="6">
                  <c:v>1.00 &lt;</c:v>
                </c:pt>
              </c:strCache>
            </c:strRef>
          </c:cat>
          <c:val>
            <c:numRef>
              <c:f>Graphics!$B$11:$B$17</c:f>
              <c:numCache>
                <c:formatCode>General</c:formatCode>
                <c:ptCount val="7"/>
                <c:pt idx="0">
                  <c:v>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BF-4AAF-B1E2-D08F4BE104A9}"/>
            </c:ext>
          </c:extLst>
        </c:ser>
        <c:ser>
          <c:idx val="1"/>
          <c:order val="1"/>
          <c:tx>
            <c:strRef>
              <c:f>Graphics!$C$10</c:f>
              <c:strCache>
                <c:ptCount val="1"/>
                <c:pt idx="0">
                  <c:v>Diff. adjusted prices closing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Graphics!$A$11:$A$17</c:f>
              <c:strCache>
                <c:ptCount val="7"/>
                <c:pt idx="0">
                  <c:v>0</c:v>
                </c:pt>
                <c:pt idx="1">
                  <c:v>0 - 0.20</c:v>
                </c:pt>
                <c:pt idx="2">
                  <c:v>0.20 - 0.40</c:v>
                </c:pt>
                <c:pt idx="3">
                  <c:v>0.40 - 0.60</c:v>
                </c:pt>
                <c:pt idx="4">
                  <c:v>0.60 - 0.80</c:v>
                </c:pt>
                <c:pt idx="5">
                  <c:v>0.80 - 1.00</c:v>
                </c:pt>
                <c:pt idx="6">
                  <c:v>1.00 &lt;</c:v>
                </c:pt>
              </c:strCache>
            </c:strRef>
          </c:cat>
          <c:val>
            <c:numRef>
              <c:f>Graphics!$C$11:$C$17</c:f>
              <c:numCache>
                <c:formatCode>General</c:formatCode>
                <c:ptCount val="7"/>
                <c:pt idx="0">
                  <c:v>3</c:v>
                </c:pt>
                <c:pt idx="1">
                  <c:v>90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BF-4AAF-B1E2-D08F4BE10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9609231"/>
        <c:axId val="1939592911"/>
      </c:barChart>
      <c:catAx>
        <c:axId val="193960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939592911"/>
        <c:crosses val="autoZero"/>
        <c:auto val="1"/>
        <c:lblAlgn val="ctr"/>
        <c:lblOffset val="100"/>
        <c:noMultiLvlLbl val="0"/>
      </c:catAx>
      <c:valAx>
        <c:axId val="193959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939609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809625</xdr:colOff>
      <xdr:row>0</xdr:row>
      <xdr:rowOff>100012</xdr:rowOff>
    </xdr:from>
    <xdr:to>
      <xdr:col>6</xdr:col>
      <xdr:colOff>533400</xdr:colOff>
      <xdr:row>14</xdr:row>
      <xdr:rowOff>176212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04F1699-017A-A9FB-42F3-2539E658D7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590550</xdr:colOff>
      <xdr:row>0</xdr:row>
      <xdr:rowOff>100012</xdr:rowOff>
    </xdr:from>
    <xdr:to>
      <xdr:col>9</xdr:col>
      <xdr:colOff>676275</xdr:colOff>
      <xdr:row>14</xdr:row>
      <xdr:rowOff>176212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19CCE24-82DA-945B-A200-4A88E415E8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F5518D-E94E-4859-B2C2-21E1FD146DB3}" name="Table1" displayName="Table1" ref="A1:S97" totalsRowShown="0">
  <autoFilter ref="A1:S97" xr:uid="{DCF5518D-E94E-4859-B2C2-21E1FD146DB3}"/>
  <tableColumns count="19">
    <tableColumn id="1" xr3:uid="{D5303B7E-D21C-43E6-A957-8D2F1152C230}" name="Date"/>
    <tableColumn id="20" xr3:uid="{00A85DED-A6A8-4015-8E14-7A64DCA0E64E}" name="Opening-SIX" dataDxfId="17"/>
    <tableColumn id="18" xr3:uid="{14CEC246-1727-44F4-9381-B5F6D26BDE11}" name="Opening Alphavantage" dataDxfId="16"/>
    <tableColumn id="19" xr3:uid="{FFD7A385-F2EB-4296-AA56-7244ECF23C3E}" name="Opening MarketStack unAdj" dataDxfId="15"/>
    <tableColumn id="22" xr3:uid="{10365DEE-0D19-47A6-8118-27ECC426DF79}" name="Diff SIX to API" dataDxfId="14">
      <calculatedColumnFormula>ABS(Table1[[#This Row],[Opening-SIX]]-Table1[[#This Row],[Opening MarketStack unAdj]])</calculatedColumnFormula>
    </tableColumn>
    <tableColumn id="23" xr3:uid="{50CE5840-8E13-498E-BD51-D2F17F4B9CA5}" name="Categorized diff unadj prices opening" dataDxfId="13">
      <calculatedColumnFormula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calculatedColumnFormula>
    </tableColumn>
    <tableColumn id="2" xr3:uid="{9B72D9F0-58E4-4566-A4DB-72C722335D3F}" name="Opening StockData" dataDxfId="12"/>
    <tableColumn id="4" xr3:uid="{79FC5795-1337-43A8-A799-8B32FF5329CE}" name="Opening MarketStack adj" dataDxfId="11"/>
    <tableColumn id="6" xr3:uid="{F04EF6DF-B8F7-4B28-9AA1-0F14E3BFD1C2}" name="Diff opening adj" dataDxfId="10">
      <calculatedColumnFormula>ABS(Table1[[#This Row],[Opening MarketStack adj]]-Table1[[#This Row],[Opening StockData]])</calculatedColumnFormula>
    </tableColumn>
    <tableColumn id="25" xr3:uid="{F7404215-9510-4BCC-BA48-11C970B6AA87}" name="Categorized diff adj prices opening" dataDxfId="9">
      <calculatedColumnFormula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calculatedColumnFormula>
    </tableColumn>
    <tableColumn id="21" xr3:uid="{29D1E62D-A389-40AB-8289-10E123D6F13A}" name="Closing SIX" dataDxfId="8"/>
    <tableColumn id="9" xr3:uid="{B8E86070-D3DC-4F17-B220-9349717A2868}" name="Closing Alphavantage" dataDxfId="7"/>
    <tableColumn id="11" xr3:uid="{B9CF9861-C5CA-4D56-A79C-09C127DAEEE6}" name="Closing MarketStack unAdj" dataDxfId="6"/>
    <tableColumn id="24" xr3:uid="{4FE82BB6-79F7-4F8D-9B42-75A645A6A149}" name="diff closing SIX to API" dataDxfId="5">
      <calculatedColumnFormula>ABS(Table1[[#This Row],[Closing SIX]]-Table1[[#This Row],[Closing MarketStack unAdj]])</calculatedColumnFormula>
    </tableColumn>
    <tableColumn id="26" xr3:uid="{58C5FD79-D11C-4BDC-A926-81F9F883D6CC}" name="Categorized diff unadj prices closing" dataDxfId="4">
      <calculatedColumnFormula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calculatedColumnFormula>
    </tableColumn>
    <tableColumn id="8" xr3:uid="{BC242410-F5D5-4E24-8050-57A3FF55F919}" name="Closing StockData" dataDxfId="3"/>
    <tableColumn id="10" xr3:uid="{30EDE210-52AD-4585-8FBF-1A5F474019D8}" name="Closing MarketStack adj" dataDxfId="2"/>
    <tableColumn id="12" xr3:uid="{03121C35-4B18-4DBB-8C6E-A27E372EF03A}" name="Diff closing adj" dataDxfId="1">
      <calculatedColumnFormula>ABS(Table1[[#This Row],[Closing MarketStack adj]]-Table1[[#This Row],[Closing StockData]])</calculatedColumnFormula>
    </tableColumn>
    <tableColumn id="27" xr3:uid="{AD08DD99-E3CE-45CF-8D84-5D9A71AEC42D}" name="Categorized diff adj prices closing" dataDxfId="0">
      <calculatedColumnFormula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7"/>
  <sheetViews>
    <sheetView tabSelected="1" zoomScale="89" zoomScaleNormal="89" workbookViewId="0">
      <selection activeCell="F30" sqref="F30"/>
    </sheetView>
  </sheetViews>
  <sheetFormatPr defaultRowHeight="15" x14ac:dyDescent="0.25"/>
  <cols>
    <col min="1" max="1" width="11.42578125" customWidth="1"/>
    <col min="2" max="2" width="14.28515625" bestFit="1" customWidth="1"/>
    <col min="3" max="3" width="23.85546875" bestFit="1" customWidth="1"/>
    <col min="4" max="4" width="28.5703125" bestFit="1" customWidth="1"/>
    <col min="5" max="5" width="15.5703125" bestFit="1" customWidth="1"/>
    <col min="6" max="6" width="27" bestFit="1" customWidth="1"/>
    <col min="7" max="7" width="20.42578125" bestFit="1" customWidth="1"/>
    <col min="8" max="8" width="25.85546875" bestFit="1" customWidth="1"/>
    <col min="9" max="9" width="17.5703125" bestFit="1" customWidth="1"/>
    <col min="10" max="10" width="26.7109375" customWidth="1"/>
    <col min="11" max="11" width="12.85546875" bestFit="1" customWidth="1"/>
    <col min="12" max="12" width="22.5703125" bestFit="1" customWidth="1"/>
    <col min="13" max="13" width="27.28515625" bestFit="1" customWidth="1"/>
    <col min="14" max="14" width="22.140625" bestFit="1" customWidth="1"/>
    <col min="15" max="15" width="22.140625" customWidth="1"/>
    <col min="16" max="16" width="19.140625" bestFit="1" customWidth="1"/>
    <col min="17" max="17" width="24.7109375" bestFit="1" customWidth="1"/>
    <col min="18" max="18" width="16.42578125" bestFit="1" customWidth="1"/>
    <col min="19" max="19" width="33.5703125" bestFit="1" customWidth="1"/>
    <col min="20" max="20" width="19" bestFit="1" customWidth="1"/>
    <col min="21" max="21" width="22.140625" bestFit="1" customWidth="1"/>
    <col min="22" max="22" width="18.140625" customWidth="1"/>
  </cols>
  <sheetData>
    <row r="1" spans="1:19" ht="15.75" customHeight="1" x14ac:dyDescent="0.25">
      <c r="A1" t="s">
        <v>0</v>
      </c>
      <c r="B1" s="4" t="s">
        <v>107</v>
      </c>
      <c r="C1" s="4" t="s">
        <v>2</v>
      </c>
      <c r="D1" s="4" t="s">
        <v>4</v>
      </c>
      <c r="E1" s="4" t="s">
        <v>109</v>
      </c>
      <c r="F1" s="4" t="s">
        <v>119</v>
      </c>
      <c r="G1" s="4" t="s">
        <v>1</v>
      </c>
      <c r="H1" s="4" t="s">
        <v>3</v>
      </c>
      <c r="I1" s="4" t="s">
        <v>5</v>
      </c>
      <c r="J1" s="4" t="s">
        <v>118</v>
      </c>
      <c r="K1" s="2" t="s">
        <v>108</v>
      </c>
      <c r="L1" s="2" t="s">
        <v>7</v>
      </c>
      <c r="M1" s="2" t="s">
        <v>9</v>
      </c>
      <c r="N1" s="2" t="s">
        <v>110</v>
      </c>
      <c r="O1" s="2" t="s">
        <v>120</v>
      </c>
      <c r="P1" s="2" t="s">
        <v>6</v>
      </c>
      <c r="Q1" s="2" t="s">
        <v>8</v>
      </c>
      <c r="R1" s="2" t="s">
        <v>10</v>
      </c>
      <c r="S1" s="2" t="s">
        <v>121</v>
      </c>
    </row>
    <row r="2" spans="1:19" ht="15.75" customHeight="1" x14ac:dyDescent="0.25">
      <c r="A2" t="s">
        <v>11</v>
      </c>
      <c r="B2" s="5">
        <v>302.62</v>
      </c>
      <c r="C2" s="5">
        <v>302.875</v>
      </c>
      <c r="D2" s="5">
        <v>302.875</v>
      </c>
      <c r="E2" s="5">
        <f>ABS(Table1[[#This Row],[Opening-SIX]]-Table1[[#This Row],[Opening MarketStack unAdj]])</f>
        <v>0.25499999999999545</v>
      </c>
      <c r="F2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0.20 - 0.40</v>
      </c>
      <c r="G2" s="5">
        <v>302.88</v>
      </c>
      <c r="H2" s="5">
        <v>302.875</v>
      </c>
      <c r="I2" s="5">
        <f>ABS(Table1[[#This Row],[Opening MarketStack adj]]-Table1[[#This Row],[Opening StockData]])</f>
        <v>4.9999999999954525E-3</v>
      </c>
      <c r="J2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K2" s="3">
        <v>307.99</v>
      </c>
      <c r="L2" s="3">
        <v>307.99</v>
      </c>
      <c r="M2" s="3">
        <v>307.99</v>
      </c>
      <c r="N2" s="3">
        <f>ABS(Table1[[#This Row],[Closing SIX]]-Table1[[#This Row],[Closing MarketStack unAdj]])</f>
        <v>0</v>
      </c>
      <c r="O2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2" s="3">
        <v>308.04000000000002</v>
      </c>
      <c r="Q2" s="3">
        <v>307.99</v>
      </c>
      <c r="R2" s="3">
        <f>ABS(Table1[[#This Row],[Closing MarketStack adj]]-Table1[[#This Row],[Closing StockData]])</f>
        <v>5.0000000000011369E-2</v>
      </c>
      <c r="S2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3" spans="1:19" x14ac:dyDescent="0.25">
      <c r="A3" t="s">
        <v>12</v>
      </c>
      <c r="B3" s="5">
        <v>302.88</v>
      </c>
      <c r="C3" s="5">
        <v>302.88</v>
      </c>
      <c r="D3" s="5">
        <v>302.88</v>
      </c>
      <c r="E3" s="5">
        <f>ABS(Table1[[#This Row],[Opening-SIX]]-Table1[[#This Row],[Opening MarketStack unAdj]])</f>
        <v>0</v>
      </c>
      <c r="F3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G3" s="5">
        <v>302.39</v>
      </c>
      <c r="H3" s="5">
        <v>302.88</v>
      </c>
      <c r="I3" s="5">
        <f>ABS(Table1[[#This Row],[Opening MarketStack adj]]-Table1[[#This Row],[Opening StockData]])</f>
        <v>0.49000000000000909</v>
      </c>
      <c r="J3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0.40 - 0.60</v>
      </c>
      <c r="K3" s="3">
        <v>302.62</v>
      </c>
      <c r="L3" s="3">
        <v>302.62</v>
      </c>
      <c r="M3" s="3">
        <v>302.62</v>
      </c>
      <c r="N3" s="3">
        <f>ABS(Table1[[#This Row],[Closing SIX]]-Table1[[#This Row],[Closing MarketStack unAdj]])</f>
        <v>0</v>
      </c>
      <c r="O3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3" s="3">
        <v>302.83</v>
      </c>
      <c r="Q3" s="3">
        <v>302.62</v>
      </c>
      <c r="R3" s="3">
        <f>ABS(Table1[[#This Row],[Closing MarketStack adj]]-Table1[[#This Row],[Closing StockData]])</f>
        <v>0.20999999999997954</v>
      </c>
      <c r="S3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0.20 - 0.40</v>
      </c>
    </row>
    <row r="4" spans="1:19" x14ac:dyDescent="0.25">
      <c r="A4" t="s">
        <v>13</v>
      </c>
      <c r="B4" s="5">
        <v>306.88</v>
      </c>
      <c r="C4" s="5">
        <v>306.505</v>
      </c>
      <c r="D4" s="5">
        <v>306.51</v>
      </c>
      <c r="E4" s="5">
        <f>ABS(Table1[[#This Row],[Opening-SIX]]-Table1[[#This Row],[Opening MarketStack unAdj]])</f>
        <v>0.37000000000000455</v>
      </c>
      <c r="F4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0.20 - 0.40</v>
      </c>
      <c r="G4" s="5">
        <v>305.85000000000002</v>
      </c>
      <c r="H4" s="5">
        <v>306.505</v>
      </c>
      <c r="I4" s="5">
        <f>ABS(Table1[[#This Row],[Opening MarketStack adj]]-Table1[[#This Row],[Opening StockData]])</f>
        <v>0.65499999999997272</v>
      </c>
      <c r="J4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0.60 - 0.80</v>
      </c>
      <c r="K4" s="3">
        <v>305.67</v>
      </c>
      <c r="L4" s="3">
        <v>305.67</v>
      </c>
      <c r="M4" s="3">
        <v>305.67</v>
      </c>
      <c r="N4" s="3">
        <f>ABS(Table1[[#This Row],[Closing SIX]]-Table1[[#This Row],[Closing MarketStack unAdj]])</f>
        <v>0</v>
      </c>
      <c r="O4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4" s="3">
        <v>305.81</v>
      </c>
      <c r="Q4" s="3">
        <v>305.67</v>
      </c>
      <c r="R4" s="3">
        <f>ABS(Table1[[#This Row],[Closing MarketStack adj]]-Table1[[#This Row],[Closing StockData]])</f>
        <v>0.13999999999998636</v>
      </c>
      <c r="S4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5" spans="1:19" x14ac:dyDescent="0.25">
      <c r="A5" t="s">
        <v>14</v>
      </c>
      <c r="B5" s="5">
        <v>304.06</v>
      </c>
      <c r="C5" s="5">
        <v>304.06</v>
      </c>
      <c r="D5" s="5">
        <v>304.06</v>
      </c>
      <c r="E5" s="5">
        <f>ABS(Table1[[#This Row],[Opening-SIX]]-Table1[[#This Row],[Opening MarketStack unAdj]])</f>
        <v>0</v>
      </c>
      <c r="F5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G5" s="5">
        <v>304</v>
      </c>
      <c r="H5" s="5">
        <v>304.06</v>
      </c>
      <c r="I5" s="5">
        <f>ABS(Table1[[#This Row],[Opening MarketStack adj]]-Table1[[#This Row],[Opening StockData]])</f>
        <v>6.0000000000002274E-2</v>
      </c>
      <c r="J5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K5" s="3">
        <v>308.58</v>
      </c>
      <c r="L5" s="3">
        <v>308.58</v>
      </c>
      <c r="M5" s="3">
        <v>308.58</v>
      </c>
      <c r="N5" s="3">
        <f>ABS(Table1[[#This Row],[Closing SIX]]-Table1[[#This Row],[Closing MarketStack unAdj]])</f>
        <v>0</v>
      </c>
      <c r="O5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5" s="3">
        <v>308.42</v>
      </c>
      <c r="Q5" s="3">
        <v>308.58</v>
      </c>
      <c r="R5" s="3">
        <f>ABS(Table1[[#This Row],[Closing MarketStack adj]]-Table1[[#This Row],[Closing StockData]])</f>
        <v>0.15999999999996817</v>
      </c>
      <c r="S5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6" spans="1:19" x14ac:dyDescent="0.25">
      <c r="A6" t="s">
        <v>15</v>
      </c>
      <c r="B6" s="5">
        <v>305.37</v>
      </c>
      <c r="C6" s="5">
        <v>305.18</v>
      </c>
      <c r="D6" s="5">
        <v>305.18</v>
      </c>
      <c r="E6" s="5">
        <f>ABS(Table1[[#This Row],[Opening-SIX]]-Table1[[#This Row],[Opening MarketStack unAdj]])</f>
        <v>0.18999999999999773</v>
      </c>
      <c r="F6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G6" s="5">
        <v>305.2</v>
      </c>
      <c r="H6" s="5">
        <v>305.18</v>
      </c>
      <c r="I6" s="5">
        <f>ABS(Table1[[#This Row],[Opening MarketStack adj]]-Table1[[#This Row],[Opening StockData]])</f>
        <v>1.999999999998181E-2</v>
      </c>
      <c r="J6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K6" s="3">
        <v>303.20999999999998</v>
      </c>
      <c r="L6" s="3">
        <v>303.20999999999998</v>
      </c>
      <c r="M6" s="3">
        <v>303.20999999999998</v>
      </c>
      <c r="N6" s="3">
        <f>ABS(Table1[[#This Row],[Closing SIX]]-Table1[[#This Row],[Closing MarketStack unAdj]])</f>
        <v>0</v>
      </c>
      <c r="O6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6" s="3">
        <v>303.25</v>
      </c>
      <c r="Q6" s="3">
        <v>303.20999999999998</v>
      </c>
      <c r="R6" s="3">
        <f>ABS(Table1[[#This Row],[Closing MarketStack adj]]-Table1[[#This Row],[Closing StockData]])</f>
        <v>4.0000000000020464E-2</v>
      </c>
      <c r="S6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7" spans="1:19" x14ac:dyDescent="0.25">
      <c r="A7" t="s">
        <v>16</v>
      </c>
      <c r="B7" s="5">
        <v>304.5</v>
      </c>
      <c r="C7" s="5">
        <v>304.125</v>
      </c>
      <c r="D7" s="5">
        <v>304.13</v>
      </c>
      <c r="E7" s="5">
        <f>ABS(Table1[[#This Row],[Opening-SIX]]-Table1[[#This Row],[Opening MarketStack unAdj]])</f>
        <v>0.37000000000000455</v>
      </c>
      <c r="F7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0.20 - 0.40</v>
      </c>
      <c r="G7" s="5">
        <v>304.16000000000003</v>
      </c>
      <c r="H7" s="5">
        <v>304.125</v>
      </c>
      <c r="I7" s="5">
        <f>ABS(Table1[[#This Row],[Opening MarketStack adj]]-Table1[[#This Row],[Opening StockData]])</f>
        <v>3.5000000000025011E-2</v>
      </c>
      <c r="J7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K7" s="3">
        <v>304.48</v>
      </c>
      <c r="L7" s="3">
        <v>304.48</v>
      </c>
      <c r="M7" s="3">
        <v>304.48</v>
      </c>
      <c r="N7" s="3">
        <f>ABS(Table1[[#This Row],[Closing SIX]]-Table1[[#This Row],[Closing MarketStack unAdj]])</f>
        <v>0</v>
      </c>
      <c r="O7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7" s="3">
        <v>304.49</v>
      </c>
      <c r="Q7" s="3">
        <v>304.48</v>
      </c>
      <c r="R7" s="3">
        <f>ABS(Table1[[#This Row],[Closing MarketStack adj]]-Table1[[#This Row],[Closing StockData]])</f>
        <v>9.9999999999909051E-3</v>
      </c>
      <c r="S7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8" spans="1:19" x14ac:dyDescent="0.25">
      <c r="A8" t="s">
        <v>17</v>
      </c>
      <c r="B8" s="5">
        <v>298.88</v>
      </c>
      <c r="C8" s="5">
        <v>299.18</v>
      </c>
      <c r="D8" s="5">
        <v>299.18</v>
      </c>
      <c r="E8" s="5">
        <f>ABS(Table1[[#This Row],[Opening-SIX]]-Table1[[#This Row],[Opening MarketStack unAdj]])</f>
        <v>0.30000000000001137</v>
      </c>
      <c r="F8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0.20 - 0.40</v>
      </c>
      <c r="G8" s="5">
        <v>298.8</v>
      </c>
      <c r="H8" s="5">
        <v>299.18</v>
      </c>
      <c r="I8" s="5">
        <f>ABS(Table1[[#This Row],[Opening MarketStack adj]]-Table1[[#This Row],[Opening StockData]])</f>
        <v>0.37999999999999545</v>
      </c>
      <c r="J8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0.20 - 0.40</v>
      </c>
      <c r="K8" s="3">
        <v>304.12</v>
      </c>
      <c r="L8" s="3">
        <v>304.12</v>
      </c>
      <c r="M8" s="3">
        <v>304.12</v>
      </c>
      <c r="N8" s="3">
        <f>ABS(Table1[[#This Row],[Closing SIX]]-Table1[[#This Row],[Closing MarketStack unAdj]])</f>
        <v>0</v>
      </c>
      <c r="O8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8" s="3">
        <v>304.18</v>
      </c>
      <c r="Q8" s="3">
        <v>304.12</v>
      </c>
      <c r="R8" s="3">
        <f>ABS(Table1[[#This Row],[Closing MarketStack adj]]-Table1[[#This Row],[Closing StockData]])</f>
        <v>6.0000000000002274E-2</v>
      </c>
      <c r="S8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9" spans="1:19" x14ac:dyDescent="0.25">
      <c r="A9" t="s">
        <v>18</v>
      </c>
      <c r="B9" s="5">
        <v>293.48</v>
      </c>
      <c r="C9" s="5">
        <v>293.48</v>
      </c>
      <c r="D9" s="5">
        <v>293.48</v>
      </c>
      <c r="E9" s="5">
        <f>ABS(Table1[[#This Row],[Opening-SIX]]-Table1[[#This Row],[Opening MarketStack unAdj]])</f>
        <v>0</v>
      </c>
      <c r="F9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G9" s="5">
        <v>292.77</v>
      </c>
      <c r="H9" s="5">
        <v>293.48</v>
      </c>
      <c r="I9" s="5">
        <f>ABS(Table1[[#This Row],[Opening MarketStack adj]]-Table1[[#This Row],[Opening StockData]])</f>
        <v>0.71000000000003638</v>
      </c>
      <c r="J9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0.60 - 0.80</v>
      </c>
      <c r="K9" s="3">
        <v>297.44</v>
      </c>
      <c r="L9" s="3">
        <v>297.44</v>
      </c>
      <c r="M9" s="3">
        <v>297.44</v>
      </c>
      <c r="N9" s="3">
        <f>ABS(Table1[[#This Row],[Closing SIX]]-Table1[[#This Row],[Closing MarketStack unAdj]])</f>
        <v>0</v>
      </c>
      <c r="O9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9" s="3">
        <v>297.63</v>
      </c>
      <c r="Q9" s="3">
        <v>297.44</v>
      </c>
      <c r="R9" s="3">
        <f>ABS(Table1[[#This Row],[Closing MarketStack adj]]-Table1[[#This Row],[Closing StockData]])</f>
        <v>0.18999999999999773</v>
      </c>
      <c r="S9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10" spans="1:19" x14ac:dyDescent="0.25">
      <c r="A10" t="s">
        <v>19</v>
      </c>
      <c r="B10" s="5">
        <v>295.60000000000002</v>
      </c>
      <c r="C10" s="5">
        <v>294.64</v>
      </c>
      <c r="D10" s="5">
        <v>294.64</v>
      </c>
      <c r="E10" s="5">
        <f>ABS(Table1[[#This Row],[Opening-SIX]]-Table1[[#This Row],[Opening MarketStack unAdj]])</f>
        <v>0.96000000000003638</v>
      </c>
      <c r="F10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0.80 - 1.00</v>
      </c>
      <c r="G10" s="5">
        <v>294.58999999999997</v>
      </c>
      <c r="H10" s="5">
        <v>294.64</v>
      </c>
      <c r="I10" s="5">
        <f>ABS(Table1[[#This Row],[Opening MarketStack adj]]-Table1[[#This Row],[Opening StockData]])</f>
        <v>5.0000000000011369E-2</v>
      </c>
      <c r="J10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K10" s="3">
        <v>290.39999999999998</v>
      </c>
      <c r="L10" s="3">
        <v>290.39999999999998</v>
      </c>
      <c r="M10" s="3">
        <v>290.39999999999998</v>
      </c>
      <c r="N10" s="3">
        <f>ABS(Table1[[#This Row],[Closing SIX]]-Table1[[#This Row],[Closing MarketStack unAdj]])</f>
        <v>0</v>
      </c>
      <c r="O10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10" s="3">
        <v>290.45999999999998</v>
      </c>
      <c r="Q10" s="3">
        <v>290.39999999999998</v>
      </c>
      <c r="R10" s="3">
        <f>ABS(Table1[[#This Row],[Closing MarketStack adj]]-Table1[[#This Row],[Closing StockData]])</f>
        <v>6.0000000000002274E-2</v>
      </c>
      <c r="S10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11" spans="1:19" x14ac:dyDescent="0.25">
      <c r="A11" t="s">
        <v>20</v>
      </c>
      <c r="B11" s="5">
        <v>290.05</v>
      </c>
      <c r="C11" s="5">
        <v>290.5</v>
      </c>
      <c r="D11" s="5">
        <v>290.5</v>
      </c>
      <c r="E11" s="5">
        <f>ABS(Table1[[#This Row],[Opening-SIX]]-Table1[[#This Row],[Opening MarketStack unAdj]])</f>
        <v>0.44999999999998863</v>
      </c>
      <c r="F11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0.40 - 0.60</v>
      </c>
      <c r="G11" s="5">
        <v>289.64999999999998</v>
      </c>
      <c r="H11" s="5">
        <v>290.5</v>
      </c>
      <c r="I11" s="5">
        <f>ABS(Table1[[#This Row],[Opening MarketStack adj]]-Table1[[#This Row],[Opening StockData]])</f>
        <v>0.85000000000002274</v>
      </c>
      <c r="J11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0.80 - 1.00</v>
      </c>
      <c r="K11" s="3">
        <v>288.52999999999997</v>
      </c>
      <c r="L11" s="3">
        <v>288.52999999999997</v>
      </c>
      <c r="M11" s="3">
        <v>288.52999999999997</v>
      </c>
      <c r="N11" s="3">
        <f>ABS(Table1[[#This Row],[Closing SIX]]-Table1[[#This Row],[Closing MarketStack unAdj]])</f>
        <v>0</v>
      </c>
      <c r="O11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11" s="3">
        <v>288.57</v>
      </c>
      <c r="Q11" s="3">
        <v>288.52999999999997</v>
      </c>
      <c r="R11" s="3">
        <f>ABS(Table1[[#This Row],[Closing MarketStack adj]]-Table1[[#This Row],[Closing StockData]])</f>
        <v>4.0000000000020464E-2</v>
      </c>
      <c r="S11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12" spans="1:19" x14ac:dyDescent="0.25">
      <c r="A12" t="s">
        <v>21</v>
      </c>
      <c r="B12" s="5">
        <v>300</v>
      </c>
      <c r="C12" s="5">
        <v>300</v>
      </c>
      <c r="D12" s="5">
        <v>300</v>
      </c>
      <c r="E12" s="5">
        <f>ABS(Table1[[#This Row],[Opening-SIX]]-Table1[[#This Row],[Opening MarketStack unAdj]])</f>
        <v>0</v>
      </c>
      <c r="F12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G12" s="5">
        <v>299.77</v>
      </c>
      <c r="H12" s="5">
        <v>300</v>
      </c>
      <c r="I12" s="5">
        <f>ABS(Table1[[#This Row],[Opening MarketStack adj]]-Table1[[#This Row],[Opening StockData]])</f>
        <v>0.23000000000001819</v>
      </c>
      <c r="J12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0.20 - 0.40</v>
      </c>
      <c r="K12" s="3">
        <v>305.69</v>
      </c>
      <c r="L12" s="3">
        <v>305.69</v>
      </c>
      <c r="M12" s="3">
        <v>305.69</v>
      </c>
      <c r="N12" s="3">
        <f>ABS(Table1[[#This Row],[Closing SIX]]-Table1[[#This Row],[Closing MarketStack unAdj]])</f>
        <v>0</v>
      </c>
      <c r="O12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12" s="3">
        <v>305.74</v>
      </c>
      <c r="Q12" s="3">
        <v>305.69</v>
      </c>
      <c r="R12" s="3">
        <f>ABS(Table1[[#This Row],[Closing MarketStack adj]]-Table1[[#This Row],[Closing StockData]])</f>
        <v>5.0000000000011369E-2</v>
      </c>
      <c r="S12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13" spans="1:19" x14ac:dyDescent="0.25">
      <c r="A13" t="s">
        <v>22</v>
      </c>
      <c r="B13" s="5">
        <v>312.29000000000002</v>
      </c>
      <c r="C13" s="5">
        <v>312.29000000000002</v>
      </c>
      <c r="D13" s="5">
        <v>312.29000000000002</v>
      </c>
      <c r="E13" s="5">
        <f>ABS(Table1[[#This Row],[Opening-SIX]]-Table1[[#This Row],[Opening MarketStack unAdj]])</f>
        <v>0</v>
      </c>
      <c r="F13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G13" s="5">
        <v>312.49</v>
      </c>
      <c r="H13" s="5">
        <v>312.29000000000002</v>
      </c>
      <c r="I13" s="5">
        <f>ABS(Table1[[#This Row],[Opening MarketStack adj]]-Table1[[#This Row],[Opening StockData]])</f>
        <v>0.19999999999998863</v>
      </c>
      <c r="J13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K13" s="3">
        <v>304.86</v>
      </c>
      <c r="L13" s="3">
        <v>304.86</v>
      </c>
      <c r="M13" s="3">
        <v>304.86</v>
      </c>
      <c r="N13" s="3">
        <f>ABS(Table1[[#This Row],[Closing SIX]]-Table1[[#This Row],[Closing MarketStack unAdj]])</f>
        <v>0</v>
      </c>
      <c r="O13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13" s="3">
        <v>304.74</v>
      </c>
      <c r="Q13" s="3">
        <v>304.86</v>
      </c>
      <c r="R13" s="3">
        <f>ABS(Table1[[#This Row],[Closing MarketStack adj]]-Table1[[#This Row],[Closing StockData]])</f>
        <v>0.12000000000000455</v>
      </c>
      <c r="S13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14" spans="1:19" x14ac:dyDescent="0.25">
      <c r="A14" t="s">
        <v>23</v>
      </c>
      <c r="B14" s="5">
        <v>319.89999999999998</v>
      </c>
      <c r="C14" s="5">
        <v>319.89</v>
      </c>
      <c r="D14" s="5">
        <v>319.89</v>
      </c>
      <c r="E14" s="5">
        <f>ABS(Table1[[#This Row],[Opening-SIX]]-Table1[[#This Row],[Opening MarketStack unAdj]])</f>
        <v>9.9999999999909051E-3</v>
      </c>
      <c r="F14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G14" s="5">
        <v>319.62</v>
      </c>
      <c r="H14" s="5">
        <v>319.89</v>
      </c>
      <c r="I14" s="5">
        <f>ABS(Table1[[#This Row],[Opening MarketStack adj]]-Table1[[#This Row],[Opening StockData]])</f>
        <v>0.26999999999998181</v>
      </c>
      <c r="J14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0.20 - 0.40</v>
      </c>
      <c r="K14" s="3">
        <v>314.98</v>
      </c>
      <c r="L14" s="3">
        <v>314.98</v>
      </c>
      <c r="M14" s="3">
        <v>314.98</v>
      </c>
      <c r="N14" s="3">
        <f>ABS(Table1[[#This Row],[Closing SIX]]-Table1[[#This Row],[Closing MarketStack unAdj]])</f>
        <v>0</v>
      </c>
      <c r="O14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14" s="3">
        <v>314.97000000000003</v>
      </c>
      <c r="Q14" s="3">
        <v>314.98</v>
      </c>
      <c r="R14" s="3">
        <f>ABS(Table1[[#This Row],[Closing MarketStack adj]]-Table1[[#This Row],[Closing StockData]])</f>
        <v>9.9999999999909051E-3</v>
      </c>
      <c r="S14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15" spans="1:19" x14ac:dyDescent="0.25">
      <c r="A15" t="s">
        <v>24</v>
      </c>
      <c r="B15" s="5">
        <v>309</v>
      </c>
      <c r="C15" s="5">
        <v>309</v>
      </c>
      <c r="D15" s="5">
        <v>309</v>
      </c>
      <c r="E15" s="5">
        <f>ABS(Table1[[#This Row],[Opening-SIX]]-Table1[[#This Row],[Opening MarketStack unAdj]])</f>
        <v>0</v>
      </c>
      <c r="F15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G15" s="5">
        <v>308.98</v>
      </c>
      <c r="H15" s="5">
        <v>309</v>
      </c>
      <c r="I15" s="5">
        <f>ABS(Table1[[#This Row],[Opening MarketStack adj]]-Table1[[#This Row],[Opening StockData]])</f>
        <v>1.999999999998181E-2</v>
      </c>
      <c r="J15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K15" s="3">
        <v>313.72000000000003</v>
      </c>
      <c r="L15" s="3">
        <v>313.72000000000003</v>
      </c>
      <c r="M15" s="3">
        <v>313.72000000000003</v>
      </c>
      <c r="N15" s="3">
        <f>ABS(Table1[[#This Row],[Closing SIX]]-Table1[[#This Row],[Closing MarketStack unAdj]])</f>
        <v>0</v>
      </c>
      <c r="O15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15" s="3">
        <v>313.70999999999998</v>
      </c>
      <c r="Q15" s="3">
        <v>313.72000000000003</v>
      </c>
      <c r="R15" s="3">
        <f>ABS(Table1[[#This Row],[Closing MarketStack adj]]-Table1[[#This Row],[Closing StockData]])</f>
        <v>1.0000000000047748E-2</v>
      </c>
      <c r="S15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16" spans="1:19" x14ac:dyDescent="0.25">
      <c r="A16" t="s">
        <v>25</v>
      </c>
      <c r="B16" s="5">
        <v>306.39999999999998</v>
      </c>
      <c r="C16" s="5">
        <v>306.82</v>
      </c>
      <c r="D16" s="5">
        <v>306.82</v>
      </c>
      <c r="E16" s="5">
        <f>ABS(Table1[[#This Row],[Opening-SIX]]-Table1[[#This Row],[Opening MarketStack unAdj]])</f>
        <v>0.42000000000001592</v>
      </c>
      <c r="F16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0.40 - 0.60</v>
      </c>
      <c r="G16" s="5">
        <v>305.77999999999997</v>
      </c>
      <c r="H16" s="5">
        <v>306.82</v>
      </c>
      <c r="I16" s="5">
        <f>ABS(Table1[[#This Row],[Opening MarketStack adj]]-Table1[[#This Row],[Opening StockData]])</f>
        <v>1.0400000000000205</v>
      </c>
      <c r="J16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1.00 &lt;</v>
      </c>
      <c r="K16" s="3">
        <v>309.13</v>
      </c>
      <c r="L16" s="3">
        <v>309.13</v>
      </c>
      <c r="M16" s="3">
        <v>309.13</v>
      </c>
      <c r="N16" s="3">
        <f>ABS(Table1[[#This Row],[Closing SIX]]-Table1[[#This Row],[Closing MarketStack unAdj]])</f>
        <v>0</v>
      </c>
      <c r="O16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16" s="3">
        <v>309.25</v>
      </c>
      <c r="Q16" s="3">
        <v>309.13</v>
      </c>
      <c r="R16" s="3">
        <f>ABS(Table1[[#This Row],[Closing MarketStack adj]]-Table1[[#This Row],[Closing StockData]])</f>
        <v>0.12000000000000455</v>
      </c>
      <c r="S16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17" spans="1:19" x14ac:dyDescent="0.25">
      <c r="A17" t="s">
        <v>26</v>
      </c>
      <c r="B17" s="5">
        <v>309.68</v>
      </c>
      <c r="C17" s="5">
        <v>309.68</v>
      </c>
      <c r="D17" s="5">
        <v>309.68</v>
      </c>
      <c r="E17" s="5">
        <f>ABS(Table1[[#This Row],[Opening-SIX]]-Table1[[#This Row],[Opening MarketStack unAdj]])</f>
        <v>0</v>
      </c>
      <c r="F17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G17" s="5">
        <v>309.77999999999997</v>
      </c>
      <c r="H17" s="5">
        <v>309.68</v>
      </c>
      <c r="I17" s="5">
        <f>ABS(Table1[[#This Row],[Opening MarketStack adj]]-Table1[[#This Row],[Opening StockData]])</f>
        <v>9.9999999999965894E-2</v>
      </c>
      <c r="J17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K17" s="3">
        <v>306.38</v>
      </c>
      <c r="L17" s="3">
        <v>306.38</v>
      </c>
      <c r="M17" s="3">
        <v>306.38</v>
      </c>
      <c r="N17" s="3">
        <f>ABS(Table1[[#This Row],[Closing SIX]]-Table1[[#This Row],[Closing MarketStack unAdj]])</f>
        <v>0</v>
      </c>
      <c r="O17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17" s="3">
        <v>306.36</v>
      </c>
      <c r="Q17" s="3">
        <v>306.38</v>
      </c>
      <c r="R17" s="3">
        <f>ABS(Table1[[#This Row],[Closing MarketStack adj]]-Table1[[#This Row],[Closing StockData]])</f>
        <v>1.999999999998181E-2</v>
      </c>
      <c r="S17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18" spans="1:19" x14ac:dyDescent="0.25">
      <c r="A18" t="s">
        <v>27</v>
      </c>
      <c r="B18" s="5">
        <v>306.75</v>
      </c>
      <c r="C18" s="5">
        <v>306.75</v>
      </c>
      <c r="D18" s="5">
        <v>306.75</v>
      </c>
      <c r="E18" s="5">
        <f>ABS(Table1[[#This Row],[Opening-SIX]]-Table1[[#This Row],[Opening MarketStack unAdj]])</f>
        <v>0</v>
      </c>
      <c r="F18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G18" s="5">
        <v>306.52999999999997</v>
      </c>
      <c r="H18" s="5">
        <v>306.75</v>
      </c>
      <c r="I18" s="5">
        <f>ABS(Table1[[#This Row],[Opening MarketStack adj]]-Table1[[#This Row],[Opening StockData]])</f>
        <v>0.22000000000002728</v>
      </c>
      <c r="J18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0.20 - 0.40</v>
      </c>
      <c r="K18" s="3">
        <v>312.42</v>
      </c>
      <c r="L18" s="3">
        <v>312.42</v>
      </c>
      <c r="M18" s="3">
        <v>312.42</v>
      </c>
      <c r="N18" s="3">
        <f>ABS(Table1[[#This Row],[Closing SIX]]-Table1[[#This Row],[Closing MarketStack unAdj]])</f>
        <v>0</v>
      </c>
      <c r="O18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18" s="3">
        <v>312.47000000000003</v>
      </c>
      <c r="Q18" s="3">
        <v>312.42</v>
      </c>
      <c r="R18" s="3">
        <f>ABS(Table1[[#This Row],[Closing MarketStack adj]]-Table1[[#This Row],[Closing StockData]])</f>
        <v>5.0000000000011369E-2</v>
      </c>
      <c r="S18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19" spans="1:19" x14ac:dyDescent="0.25">
      <c r="A19" t="s">
        <v>28</v>
      </c>
      <c r="B19" s="5">
        <v>301.38</v>
      </c>
      <c r="C19" s="5">
        <v>301.38</v>
      </c>
      <c r="D19" s="5">
        <v>301.38</v>
      </c>
      <c r="E19" s="5">
        <f>ABS(Table1[[#This Row],[Opening-SIX]]-Table1[[#This Row],[Opening MarketStack unAdj]])</f>
        <v>0</v>
      </c>
      <c r="F19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G19" s="5">
        <v>301.43</v>
      </c>
      <c r="H19" s="5">
        <v>301.38</v>
      </c>
      <c r="I19" s="5">
        <f>ABS(Table1[[#This Row],[Opening MarketStack adj]]-Table1[[#This Row],[Opening StockData]])</f>
        <v>5.0000000000011369E-2</v>
      </c>
      <c r="J19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K19" s="3">
        <v>306.77</v>
      </c>
      <c r="L19" s="3">
        <v>306.77</v>
      </c>
      <c r="M19" s="3">
        <v>306.77</v>
      </c>
      <c r="N19" s="3">
        <f>ABS(Table1[[#This Row],[Closing SIX]]-Table1[[#This Row],[Closing MarketStack unAdj]])</f>
        <v>0</v>
      </c>
      <c r="O19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19" s="3">
        <v>306.55</v>
      </c>
      <c r="Q19" s="3">
        <v>306.77</v>
      </c>
      <c r="R19" s="3">
        <f>ABS(Table1[[#This Row],[Closing MarketStack adj]]-Table1[[#This Row],[Closing StockData]])</f>
        <v>0.21999999999997044</v>
      </c>
      <c r="S19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0.20 - 0.40</v>
      </c>
    </row>
    <row r="20" spans="1:19" x14ac:dyDescent="0.25">
      <c r="A20" t="s">
        <v>29</v>
      </c>
      <c r="B20" s="5">
        <v>300</v>
      </c>
      <c r="C20" s="5">
        <v>300</v>
      </c>
      <c r="D20" s="5">
        <v>300</v>
      </c>
      <c r="E20" s="5">
        <f>ABS(Table1[[#This Row],[Opening-SIX]]-Table1[[#This Row],[Opening MarketStack unAdj]])</f>
        <v>0</v>
      </c>
      <c r="F20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G20" s="5">
        <v>298.76</v>
      </c>
      <c r="H20" s="5">
        <v>300</v>
      </c>
      <c r="I20" s="5">
        <f>ABS(Table1[[#This Row],[Opening MarketStack adj]]-Table1[[#This Row],[Opening StockData]])</f>
        <v>1.2400000000000091</v>
      </c>
      <c r="J20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1.00 &lt;</v>
      </c>
      <c r="K20" s="3">
        <v>300.85000000000002</v>
      </c>
      <c r="L20" s="3">
        <v>300.85000000000002</v>
      </c>
      <c r="M20" s="3">
        <v>300.85000000000002</v>
      </c>
      <c r="N20" s="3">
        <f>ABS(Table1[[#This Row],[Closing SIX]]-Table1[[#This Row],[Closing MarketStack unAdj]])</f>
        <v>0</v>
      </c>
      <c r="O20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20" s="3">
        <v>300.82</v>
      </c>
      <c r="Q20" s="3">
        <v>300.85000000000002</v>
      </c>
      <c r="R20" s="3">
        <f>ABS(Table1[[#This Row],[Closing MarketStack adj]]-Table1[[#This Row],[Closing StockData]])</f>
        <v>3.0000000000029559E-2</v>
      </c>
      <c r="S20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21" spans="1:19" x14ac:dyDescent="0.25">
      <c r="A21" t="s">
        <v>30</v>
      </c>
      <c r="B21" s="5">
        <v>308</v>
      </c>
      <c r="C21" s="5">
        <v>308</v>
      </c>
      <c r="D21" s="5">
        <v>308</v>
      </c>
      <c r="E21" s="5">
        <f>ABS(Table1[[#This Row],[Opening-SIX]]-Table1[[#This Row],[Opening MarketStack unAdj]])</f>
        <v>0</v>
      </c>
      <c r="F21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G21" s="5">
        <v>307.98</v>
      </c>
      <c r="H21" s="5">
        <v>308</v>
      </c>
      <c r="I21" s="5">
        <f>ABS(Table1[[#This Row],[Opening MarketStack adj]]-Table1[[#This Row],[Opening StockData]])</f>
        <v>1.999999999998181E-2</v>
      </c>
      <c r="J21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K21" s="3">
        <v>304.73</v>
      </c>
      <c r="L21" s="3">
        <v>304.73</v>
      </c>
      <c r="M21" s="3">
        <v>304.73</v>
      </c>
      <c r="N21" s="3">
        <f>ABS(Table1[[#This Row],[Closing SIX]]-Table1[[#This Row],[Closing MarketStack unAdj]])</f>
        <v>0</v>
      </c>
      <c r="O21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21" s="3">
        <v>304.69</v>
      </c>
      <c r="Q21" s="3">
        <v>304.73</v>
      </c>
      <c r="R21" s="3">
        <f>ABS(Table1[[#This Row],[Closing MarketStack adj]]-Table1[[#This Row],[Closing StockData]])</f>
        <v>4.0000000000020464E-2</v>
      </c>
      <c r="S21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22" spans="1:19" x14ac:dyDescent="0.25">
      <c r="A22" t="s">
        <v>31</v>
      </c>
      <c r="B22" s="5">
        <v>312</v>
      </c>
      <c r="C22" s="5">
        <v>312</v>
      </c>
      <c r="D22" s="5">
        <v>312</v>
      </c>
      <c r="E22" s="5">
        <f>ABS(Table1[[#This Row],[Opening-SIX]]-Table1[[#This Row],[Opening MarketStack unAdj]])</f>
        <v>0</v>
      </c>
      <c r="F22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G22" s="5">
        <v>311.18</v>
      </c>
      <c r="H22" s="5">
        <v>312</v>
      </c>
      <c r="I22" s="5">
        <f>ABS(Table1[[#This Row],[Opening MarketStack adj]]-Table1[[#This Row],[Opening StockData]])</f>
        <v>0.81999999999999318</v>
      </c>
      <c r="J22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0.80 - 1.00</v>
      </c>
      <c r="K22" s="3">
        <v>307.41000000000003</v>
      </c>
      <c r="L22" s="3">
        <v>307.41000000000003</v>
      </c>
      <c r="M22" s="3">
        <v>307.41000000000003</v>
      </c>
      <c r="N22" s="3">
        <f>ABS(Table1[[#This Row],[Closing SIX]]-Table1[[#This Row],[Closing MarketStack unAdj]])</f>
        <v>0</v>
      </c>
      <c r="O22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22" s="3">
        <v>307.39</v>
      </c>
      <c r="Q22" s="3">
        <v>307.41000000000003</v>
      </c>
      <c r="R22" s="3">
        <f>ABS(Table1[[#This Row],[Closing MarketStack adj]]-Table1[[#This Row],[Closing StockData]])</f>
        <v>2.0000000000038654E-2</v>
      </c>
      <c r="S22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23" spans="1:19" x14ac:dyDescent="0.25">
      <c r="A23" t="s">
        <v>32</v>
      </c>
      <c r="B23" s="5">
        <v>306.64999999999998</v>
      </c>
      <c r="C23" s="5">
        <v>306.64999999999998</v>
      </c>
      <c r="D23" s="5">
        <v>306.64999999999998</v>
      </c>
      <c r="E23" s="5">
        <f>ABS(Table1[[#This Row],[Opening-SIX]]-Table1[[#This Row],[Opening MarketStack unAdj]])</f>
        <v>0</v>
      </c>
      <c r="F23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G23" s="5">
        <v>306.2</v>
      </c>
      <c r="H23" s="5">
        <v>306.64999999999998</v>
      </c>
      <c r="I23" s="5">
        <f>ABS(Table1[[#This Row],[Opening MarketStack adj]]-Table1[[#This Row],[Opening StockData]])</f>
        <v>0.44999999999998863</v>
      </c>
      <c r="J23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0.40 - 0.60</v>
      </c>
      <c r="K23" s="3">
        <v>310.06</v>
      </c>
      <c r="L23" s="3">
        <v>310.06</v>
      </c>
      <c r="M23" s="3">
        <v>310.06</v>
      </c>
      <c r="N23" s="3">
        <f>ABS(Table1[[#This Row],[Closing SIX]]-Table1[[#This Row],[Closing MarketStack unAdj]])</f>
        <v>0</v>
      </c>
      <c r="O23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23" s="3">
        <v>310.20999999999998</v>
      </c>
      <c r="Q23" s="3">
        <v>310.06</v>
      </c>
      <c r="R23" s="3">
        <f>ABS(Table1[[#This Row],[Closing MarketStack adj]]-Table1[[#This Row],[Closing StockData]])</f>
        <v>0.14999999999997726</v>
      </c>
      <c r="S23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24" spans="1:19" x14ac:dyDescent="0.25">
      <c r="A24" t="s">
        <v>33</v>
      </c>
      <c r="B24" s="5">
        <v>313.13</v>
      </c>
      <c r="C24" s="5">
        <v>312.79000000000002</v>
      </c>
      <c r="D24" s="5">
        <v>312.79000000000002</v>
      </c>
      <c r="E24" s="5">
        <f>ABS(Table1[[#This Row],[Opening-SIX]]-Table1[[#This Row],[Opening MarketStack unAdj]])</f>
        <v>0.33999999999997499</v>
      </c>
      <c r="F24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0.20 - 0.40</v>
      </c>
      <c r="G24" s="5">
        <v>312.79000000000002</v>
      </c>
      <c r="H24" s="5">
        <v>312.79000000000002</v>
      </c>
      <c r="I24" s="5">
        <f>ABS(Table1[[#This Row],[Opening MarketStack adj]]-Table1[[#This Row],[Opening StockData]])</f>
        <v>0</v>
      </c>
      <c r="J24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K24" s="3">
        <v>308.20999999999998</v>
      </c>
      <c r="L24" s="3">
        <v>308.20999999999998</v>
      </c>
      <c r="M24" s="3">
        <v>308.20999999999998</v>
      </c>
      <c r="N24" s="3">
        <f>ABS(Table1[[#This Row],[Closing SIX]]-Table1[[#This Row],[Closing MarketStack unAdj]])</f>
        <v>0</v>
      </c>
      <c r="O24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24" s="3">
        <v>308.37</v>
      </c>
      <c r="Q24" s="3">
        <v>308.20999999999998</v>
      </c>
      <c r="R24" s="3">
        <f>ABS(Table1[[#This Row],[Closing MarketStack adj]]-Table1[[#This Row],[Closing StockData]])</f>
        <v>0.16000000000002501</v>
      </c>
      <c r="S24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25" spans="1:19" x14ac:dyDescent="0.25">
      <c r="A25" t="s">
        <v>34</v>
      </c>
      <c r="B25" s="5">
        <v>312.60000000000002</v>
      </c>
      <c r="C25" s="5">
        <v>312.60000000000002</v>
      </c>
      <c r="D25" s="5">
        <v>312.60000000000002</v>
      </c>
      <c r="E25" s="5">
        <f>ABS(Table1[[#This Row],[Opening-SIX]]-Table1[[#This Row],[Opening MarketStack unAdj]])</f>
        <v>0</v>
      </c>
      <c r="F25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G25" s="5">
        <v>312.2</v>
      </c>
      <c r="H25" s="5">
        <v>312.60000000000002</v>
      </c>
      <c r="I25" s="5">
        <f>ABS(Table1[[#This Row],[Opening MarketStack adj]]-Table1[[#This Row],[Opening StockData]])</f>
        <v>0.40000000000003411</v>
      </c>
      <c r="J25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0.40 - 0.60</v>
      </c>
      <c r="K25" s="3">
        <v>312.57</v>
      </c>
      <c r="L25" s="3">
        <v>312.57</v>
      </c>
      <c r="M25" s="3">
        <v>312.57</v>
      </c>
      <c r="N25" s="3">
        <f>ABS(Table1[[#This Row],[Closing SIX]]-Table1[[#This Row],[Closing MarketStack unAdj]])</f>
        <v>0</v>
      </c>
      <c r="O25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25" s="3">
        <v>312.56</v>
      </c>
      <c r="Q25" s="3">
        <v>312.57</v>
      </c>
      <c r="R25" s="3">
        <f>ABS(Table1[[#This Row],[Closing MarketStack adj]]-Table1[[#This Row],[Closing StockData]])</f>
        <v>9.9999999999909051E-3</v>
      </c>
      <c r="S25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26" spans="1:19" x14ac:dyDescent="0.25">
      <c r="A26" t="s">
        <v>35</v>
      </c>
      <c r="B26" s="5">
        <v>308.10000000000002</v>
      </c>
      <c r="C26" s="5">
        <v>307.8</v>
      </c>
      <c r="D26" s="5">
        <v>307.8</v>
      </c>
      <c r="E26" s="5">
        <f>ABS(Table1[[#This Row],[Opening-SIX]]-Table1[[#This Row],[Opening MarketStack unAdj]])</f>
        <v>0.30000000000001137</v>
      </c>
      <c r="F26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0.20 - 0.40</v>
      </c>
      <c r="G26" s="5">
        <v>308.04000000000002</v>
      </c>
      <c r="H26" s="5">
        <v>307.8</v>
      </c>
      <c r="I26" s="5">
        <f>ABS(Table1[[#This Row],[Opening MarketStack adj]]-Table1[[#This Row],[Opening StockData]])</f>
        <v>0.24000000000000909</v>
      </c>
      <c r="J26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0.20 - 0.40</v>
      </c>
      <c r="K26" s="3">
        <v>313.08999999999997</v>
      </c>
      <c r="L26" s="3">
        <v>313.08999999999997</v>
      </c>
      <c r="M26" s="3">
        <v>313.08999999999997</v>
      </c>
      <c r="N26" s="3">
        <f>ABS(Table1[[#This Row],[Closing SIX]]-Table1[[#This Row],[Closing MarketStack unAdj]])</f>
        <v>0</v>
      </c>
      <c r="O26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26" s="3">
        <v>313.02999999999997</v>
      </c>
      <c r="Q26" s="3">
        <v>313.08999999999997</v>
      </c>
      <c r="R26" s="3">
        <f>ABS(Table1[[#This Row],[Closing MarketStack adj]]-Table1[[#This Row],[Closing StockData]])</f>
        <v>6.0000000000002274E-2</v>
      </c>
      <c r="S26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27" spans="1:19" x14ac:dyDescent="0.25">
      <c r="A27" t="s">
        <v>36</v>
      </c>
      <c r="B27" s="5">
        <v>283.52</v>
      </c>
      <c r="C27" s="5">
        <v>283.77</v>
      </c>
      <c r="D27" s="5">
        <v>283.77</v>
      </c>
      <c r="E27" s="5">
        <f>ABS(Table1[[#This Row],[Opening-SIX]]-Table1[[#This Row],[Opening MarketStack unAdj]])</f>
        <v>0.25</v>
      </c>
      <c r="F27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0.20 - 0.40</v>
      </c>
      <c r="G27" s="5">
        <v>283.13</v>
      </c>
      <c r="H27" s="5">
        <v>283.77</v>
      </c>
      <c r="I27" s="5">
        <f>ABS(Table1[[#This Row],[Opening MarketStack adj]]-Table1[[#This Row],[Opening StockData]])</f>
        <v>0.63999999999998636</v>
      </c>
      <c r="J27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0.60 - 0.80</v>
      </c>
      <c r="K27" s="3">
        <v>307.45999999999998</v>
      </c>
      <c r="L27" s="3">
        <v>307.45999999999998</v>
      </c>
      <c r="M27" s="3">
        <v>307.45999999999998</v>
      </c>
      <c r="N27" s="3">
        <f>ABS(Table1[[#This Row],[Closing SIX]]-Table1[[#This Row],[Closing MarketStack unAdj]])</f>
        <v>0</v>
      </c>
      <c r="O27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27" s="3">
        <v>307.39</v>
      </c>
      <c r="Q27" s="3">
        <v>307.45999999999998</v>
      </c>
      <c r="R27" s="3">
        <f>ABS(Table1[[#This Row],[Closing MarketStack adj]]-Table1[[#This Row],[Closing StockData]])</f>
        <v>6.9999999999993179E-2</v>
      </c>
      <c r="S27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28" spans="1:19" x14ac:dyDescent="0.25">
      <c r="A28" t="s">
        <v>37</v>
      </c>
      <c r="B28" s="5">
        <v>266.66000000000003</v>
      </c>
      <c r="C28" s="5">
        <v>264.95</v>
      </c>
      <c r="D28" s="5">
        <v>264.95</v>
      </c>
      <c r="E28" s="5">
        <f>ABS(Table1[[#This Row],[Opening-SIX]]-Table1[[#This Row],[Opening MarketStack unAdj]])</f>
        <v>1.7100000000000364</v>
      </c>
      <c r="F28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1.00 &lt;</v>
      </c>
      <c r="G28" s="5">
        <v>265.20999999999998</v>
      </c>
      <c r="H28" s="5">
        <v>264.95</v>
      </c>
      <c r="I28" s="5">
        <f>ABS(Table1[[#This Row],[Opening MarketStack adj]]-Table1[[#This Row],[Opening StockData]])</f>
        <v>0.25999999999999091</v>
      </c>
      <c r="J28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0.20 - 0.40</v>
      </c>
      <c r="K28" s="3">
        <v>285</v>
      </c>
      <c r="L28" s="3">
        <v>285</v>
      </c>
      <c r="M28" s="3">
        <v>285</v>
      </c>
      <c r="N28" s="3">
        <f>ABS(Table1[[#This Row],[Closing SIX]]-Table1[[#This Row],[Closing MarketStack unAdj]])</f>
        <v>0</v>
      </c>
      <c r="O28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28" s="3">
        <v>285.08999999999997</v>
      </c>
      <c r="Q28" s="3">
        <v>285</v>
      </c>
      <c r="R28" s="3">
        <f>ABS(Table1[[#This Row],[Closing MarketStack adj]]-Table1[[#This Row],[Closing StockData]])</f>
        <v>8.9999999999974989E-2</v>
      </c>
      <c r="S28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29" spans="1:19" x14ac:dyDescent="0.25">
      <c r="A29" t="s">
        <v>38</v>
      </c>
      <c r="B29" s="5">
        <v>281.88</v>
      </c>
      <c r="C29" s="5">
        <v>281.99</v>
      </c>
      <c r="D29" s="5">
        <v>281.99</v>
      </c>
      <c r="E29" s="5">
        <f>ABS(Table1[[#This Row],[Opening-SIX]]-Table1[[#This Row],[Opening MarketStack unAdj]])</f>
        <v>0.11000000000001364</v>
      </c>
      <c r="F29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G29" s="5">
        <v>281.60000000000002</v>
      </c>
      <c r="H29" s="5">
        <v>281.99</v>
      </c>
      <c r="I29" s="5">
        <f>ABS(Table1[[#This Row],[Opening MarketStack adj]]-Table1[[#This Row],[Opening StockData]])</f>
        <v>0.38999999999998636</v>
      </c>
      <c r="J29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0.20 - 0.40</v>
      </c>
      <c r="K29" s="3">
        <v>287.51</v>
      </c>
      <c r="L29" s="3">
        <v>287.51</v>
      </c>
      <c r="M29" s="3">
        <v>287.51</v>
      </c>
      <c r="N29" s="3">
        <f>ABS(Table1[[#This Row],[Closing SIX]]-Table1[[#This Row],[Closing MarketStack unAdj]])</f>
        <v>0</v>
      </c>
      <c r="O29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29" s="3">
        <v>287.67</v>
      </c>
      <c r="Q29" s="3">
        <v>287.51</v>
      </c>
      <c r="R29" s="3">
        <f>ABS(Table1[[#This Row],[Closing MarketStack adj]]-Table1[[#This Row],[Closing StockData]])</f>
        <v>0.16000000000002501</v>
      </c>
      <c r="S29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30" spans="1:19" x14ac:dyDescent="0.25">
      <c r="A30" t="s">
        <v>39</v>
      </c>
      <c r="B30" s="5">
        <v>282.49</v>
      </c>
      <c r="C30" s="5">
        <v>283.31</v>
      </c>
      <c r="D30" s="5">
        <v>283.31</v>
      </c>
      <c r="E30" s="5">
        <f>ABS(Table1[[#This Row],[Opening-SIX]]-Table1[[#This Row],[Opening MarketStack unAdj]])</f>
        <v>0.81999999999999318</v>
      </c>
      <c r="F30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0.80 - 1.00</v>
      </c>
      <c r="G30" s="5">
        <v>282.68</v>
      </c>
      <c r="H30" s="5">
        <v>283.31</v>
      </c>
      <c r="I30" s="5">
        <f>ABS(Table1[[#This Row],[Opening MarketStack adj]]-Table1[[#This Row],[Opening StockData]])</f>
        <v>0.62999999999999545</v>
      </c>
      <c r="J30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0.60 - 0.80</v>
      </c>
      <c r="K30" s="3">
        <v>282.05</v>
      </c>
      <c r="L30" s="3">
        <v>282.05</v>
      </c>
      <c r="M30" s="3">
        <v>282.05</v>
      </c>
      <c r="N30" s="3">
        <f>ABS(Table1[[#This Row],[Closing SIX]]-Table1[[#This Row],[Closing MarketStack unAdj]])</f>
        <v>0</v>
      </c>
      <c r="O30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30" s="3">
        <v>282</v>
      </c>
      <c r="Q30" s="3">
        <v>282.05</v>
      </c>
      <c r="R30" s="3">
        <f>ABS(Table1[[#This Row],[Closing MarketStack adj]]-Table1[[#This Row],[Closing StockData]])</f>
        <v>5.0000000000011369E-2</v>
      </c>
      <c r="S30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31" spans="1:19" x14ac:dyDescent="0.25">
      <c r="A31" t="s">
        <v>40</v>
      </c>
      <c r="B31" s="5">
        <v>281.79000000000002</v>
      </c>
      <c r="C31" s="5">
        <v>281.25</v>
      </c>
      <c r="D31" s="5">
        <v>281.25</v>
      </c>
      <c r="E31" s="5">
        <f>ABS(Table1[[#This Row],[Opening-SIX]]-Table1[[#This Row],[Opening MarketStack unAdj]])</f>
        <v>0.54000000000002046</v>
      </c>
      <c r="F31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0.40 - 0.60</v>
      </c>
      <c r="G31" s="5">
        <v>281.2</v>
      </c>
      <c r="H31" s="5">
        <v>281.25</v>
      </c>
      <c r="I31" s="5">
        <f>ABS(Table1[[#This Row],[Opening MarketStack adj]]-Table1[[#This Row],[Opening StockData]])</f>
        <v>5.0000000000011369E-2</v>
      </c>
      <c r="J31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K31" s="3">
        <v>283.64999999999998</v>
      </c>
      <c r="L31" s="3">
        <v>283.64999999999998</v>
      </c>
      <c r="M31" s="3">
        <v>283.64999999999998</v>
      </c>
      <c r="N31" s="3">
        <f>ABS(Table1[[#This Row],[Closing SIX]]-Table1[[#This Row],[Closing MarketStack unAdj]])</f>
        <v>0</v>
      </c>
      <c r="O31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31" s="3">
        <v>283.56</v>
      </c>
      <c r="Q31" s="3">
        <v>283.64999999999998</v>
      </c>
      <c r="R31" s="3">
        <f>ABS(Table1[[#This Row],[Closing MarketStack adj]]-Table1[[#This Row],[Closing StockData]])</f>
        <v>8.9999999999974989E-2</v>
      </c>
      <c r="S31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32" spans="1:19" x14ac:dyDescent="0.25">
      <c r="A32" t="s">
        <v>41</v>
      </c>
      <c r="B32" s="5">
        <v>276.37</v>
      </c>
      <c r="C32" s="5">
        <v>276.14999999999998</v>
      </c>
      <c r="D32" s="5">
        <v>276.14999999999998</v>
      </c>
      <c r="E32" s="5">
        <f>ABS(Table1[[#This Row],[Opening-SIX]]-Table1[[#This Row],[Opening MarketStack unAdj]])</f>
        <v>0.22000000000002728</v>
      </c>
      <c r="F32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0.20 - 0.40</v>
      </c>
      <c r="G32" s="5">
        <v>276.27999999999997</v>
      </c>
      <c r="H32" s="5">
        <v>276.14999999999998</v>
      </c>
      <c r="I32" s="5">
        <f>ABS(Table1[[#This Row],[Opening MarketStack adj]]-Table1[[#This Row],[Opening StockData]])</f>
        <v>0.12999999999999545</v>
      </c>
      <c r="J32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K32" s="3">
        <v>281.27999999999997</v>
      </c>
      <c r="L32" s="3">
        <v>281.27999999999997</v>
      </c>
      <c r="M32" s="3">
        <v>281.27999999999997</v>
      </c>
      <c r="N32" s="3">
        <f>ABS(Table1[[#This Row],[Closing SIX]]-Table1[[#This Row],[Closing MarketStack unAdj]])</f>
        <v>0</v>
      </c>
      <c r="O32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32" s="3">
        <v>281.29000000000002</v>
      </c>
      <c r="Q32" s="3">
        <v>281.27999999999997</v>
      </c>
      <c r="R32" s="3">
        <f>ABS(Table1[[#This Row],[Closing MarketStack adj]]-Table1[[#This Row],[Closing StockData]])</f>
        <v>1.0000000000047748E-2</v>
      </c>
      <c r="S32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33" spans="1:19" x14ac:dyDescent="0.25">
      <c r="A33" t="s">
        <v>42</v>
      </c>
      <c r="B33" s="5">
        <v>281.11</v>
      </c>
      <c r="C33" s="5">
        <v>281.11</v>
      </c>
      <c r="D33" s="5">
        <v>281.11</v>
      </c>
      <c r="E33" s="5">
        <f>ABS(Table1[[#This Row],[Opening-SIX]]-Table1[[#This Row],[Opening MarketStack unAdj]])</f>
        <v>0</v>
      </c>
      <c r="F33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G33" s="5">
        <v>280.81</v>
      </c>
      <c r="H33" s="5">
        <v>281.11</v>
      </c>
      <c r="I33" s="5">
        <f>ABS(Table1[[#This Row],[Opening MarketStack adj]]-Table1[[#This Row],[Opening StockData]])</f>
        <v>0.30000000000001137</v>
      </c>
      <c r="J33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0.20 - 0.40</v>
      </c>
      <c r="K33" s="3">
        <v>275.97000000000003</v>
      </c>
      <c r="L33" s="3">
        <v>275.97000000000003</v>
      </c>
      <c r="M33" s="3">
        <v>275.97000000000003</v>
      </c>
      <c r="N33" s="3">
        <f>ABS(Table1[[#This Row],[Closing SIX]]-Table1[[#This Row],[Closing MarketStack unAdj]])</f>
        <v>0</v>
      </c>
      <c r="O33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33" s="3">
        <v>276.02999999999997</v>
      </c>
      <c r="Q33" s="3">
        <v>275.97000000000003</v>
      </c>
      <c r="R33" s="3">
        <f>ABS(Table1[[#This Row],[Closing MarketStack adj]]-Table1[[#This Row],[Closing StockData]])</f>
        <v>5.999999999994543E-2</v>
      </c>
      <c r="S33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34" spans="1:19" x14ac:dyDescent="0.25">
      <c r="A34" t="s">
        <v>43</v>
      </c>
      <c r="B34" s="5">
        <v>278.38</v>
      </c>
      <c r="C34" s="5">
        <v>278.38</v>
      </c>
      <c r="D34" s="5">
        <v>278.38</v>
      </c>
      <c r="E34" s="5">
        <f>ABS(Table1[[#This Row],[Opening-SIX]]-Table1[[#This Row],[Opening MarketStack unAdj]])</f>
        <v>0</v>
      </c>
      <c r="F34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G34" s="5">
        <v>277.77999999999997</v>
      </c>
      <c r="H34" s="5">
        <v>278.38</v>
      </c>
      <c r="I34" s="5">
        <f>ABS(Table1[[#This Row],[Opening MarketStack adj]]-Table1[[#This Row],[Opening StockData]])</f>
        <v>0.60000000000002274</v>
      </c>
      <c r="J34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0.60 - 0.80</v>
      </c>
      <c r="K34" s="3">
        <v>280.75</v>
      </c>
      <c r="L34" s="3">
        <v>280.75</v>
      </c>
      <c r="M34" s="3">
        <v>280.75</v>
      </c>
      <c r="N34" s="3">
        <f>ABS(Table1[[#This Row],[Closing SIX]]-Table1[[#This Row],[Closing MarketStack unAdj]])</f>
        <v>0</v>
      </c>
      <c r="O34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34" s="3">
        <v>280.83999999999997</v>
      </c>
      <c r="Q34" s="3">
        <v>280.75</v>
      </c>
      <c r="R34" s="3">
        <f>ABS(Table1[[#This Row],[Closing MarketStack adj]]-Table1[[#This Row],[Closing StockData]])</f>
        <v>8.9999999999974989E-2</v>
      </c>
      <c r="S34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35" spans="1:19" x14ac:dyDescent="0.25">
      <c r="A35" t="s">
        <v>44</v>
      </c>
      <c r="B35" s="5">
        <v>275.61</v>
      </c>
      <c r="C35" s="5">
        <v>275.52</v>
      </c>
      <c r="D35" s="5">
        <v>275.52</v>
      </c>
      <c r="E35" s="5">
        <f>ABS(Table1[[#This Row],[Opening-SIX]]-Table1[[#This Row],[Opening MarketStack unAdj]])</f>
        <v>9.0000000000031832E-2</v>
      </c>
      <c r="F35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G35" s="5">
        <v>275.49</v>
      </c>
      <c r="H35" s="5">
        <v>275.52</v>
      </c>
      <c r="I35" s="5">
        <f>ABS(Table1[[#This Row],[Opening MarketStack adj]]-Table1[[#This Row],[Opening StockData]])</f>
        <v>2.9999999999972715E-2</v>
      </c>
      <c r="J35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K35" s="3">
        <v>276.14999999999998</v>
      </c>
      <c r="L35" s="3">
        <v>276.14999999999998</v>
      </c>
      <c r="M35" s="3">
        <v>276.14999999999998</v>
      </c>
      <c r="N35" s="3">
        <f>ABS(Table1[[#This Row],[Closing SIX]]-Table1[[#This Row],[Closing MarketStack unAdj]])</f>
        <v>0</v>
      </c>
      <c r="O35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35" s="3">
        <v>276.18</v>
      </c>
      <c r="Q35" s="3">
        <v>276.14999999999998</v>
      </c>
      <c r="R35" s="3">
        <f>ABS(Table1[[#This Row],[Closing MarketStack adj]]-Table1[[#This Row],[Closing StockData]])</f>
        <v>3.0000000000029559E-2</v>
      </c>
      <c r="S35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36" spans="1:19" x14ac:dyDescent="0.25">
      <c r="A36" t="s">
        <v>45</v>
      </c>
      <c r="B36" s="5">
        <v>279.79000000000002</v>
      </c>
      <c r="C36" s="5">
        <v>279.79000000000002</v>
      </c>
      <c r="D36" s="5">
        <v>279.79000000000002</v>
      </c>
      <c r="E36" s="5">
        <f>ABS(Table1[[#This Row],[Opening-SIX]]-Table1[[#This Row],[Opening MarketStack unAdj]])</f>
        <v>0</v>
      </c>
      <c r="F36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G36" s="5">
        <v>279.7</v>
      </c>
      <c r="H36" s="5">
        <v>279.79000000000002</v>
      </c>
      <c r="I36" s="5">
        <f>ABS(Table1[[#This Row],[Opening MarketStack adj]]-Table1[[#This Row],[Opening StockData]])</f>
        <v>9.0000000000031832E-2</v>
      </c>
      <c r="J36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K36" s="3">
        <v>277.22000000000003</v>
      </c>
      <c r="L36" s="3">
        <v>277.22000000000003</v>
      </c>
      <c r="M36" s="3">
        <v>277.22000000000003</v>
      </c>
      <c r="N36" s="3">
        <f>ABS(Table1[[#This Row],[Closing SIX]]-Table1[[#This Row],[Closing MarketStack unAdj]])</f>
        <v>0</v>
      </c>
      <c r="O36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36" s="3">
        <v>277.17</v>
      </c>
      <c r="Q36" s="3">
        <v>277.22000000000003</v>
      </c>
      <c r="R36" s="3">
        <f>ABS(Table1[[#This Row],[Closing MarketStack adj]]-Table1[[#This Row],[Closing StockData]])</f>
        <v>5.0000000000011369E-2</v>
      </c>
      <c r="S36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37" spans="1:19" x14ac:dyDescent="0.25">
      <c r="A37" t="s">
        <v>46</v>
      </c>
      <c r="B37" s="5">
        <v>289.14999999999998</v>
      </c>
      <c r="C37" s="5">
        <v>288.97000000000003</v>
      </c>
      <c r="D37" s="5">
        <v>288.97000000000003</v>
      </c>
      <c r="E37" s="5">
        <f>ABS(Table1[[#This Row],[Opening-SIX]]-Table1[[#This Row],[Opening MarketStack unAdj]])</f>
        <v>0.17999999999994998</v>
      </c>
      <c r="F37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G37" s="5">
        <v>288.87</v>
      </c>
      <c r="H37" s="5">
        <v>288.97000000000003</v>
      </c>
      <c r="I37" s="5">
        <f>ABS(Table1[[#This Row],[Opening MarketStack adj]]-Table1[[#This Row],[Opening StockData]])</f>
        <v>0.10000000000002274</v>
      </c>
      <c r="J37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K37" s="3">
        <v>277.82</v>
      </c>
      <c r="L37" s="3">
        <v>277.82</v>
      </c>
      <c r="M37" s="3">
        <v>277.82</v>
      </c>
      <c r="N37" s="3">
        <f>ABS(Table1[[#This Row],[Closing SIX]]-Table1[[#This Row],[Closing MarketStack unAdj]])</f>
        <v>0</v>
      </c>
      <c r="O37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37" s="3">
        <v>277.8</v>
      </c>
      <c r="Q37" s="3">
        <v>277.82</v>
      </c>
      <c r="R37" s="3">
        <f>ABS(Table1[[#This Row],[Closing MarketStack adj]]-Table1[[#This Row],[Closing StockData]])</f>
        <v>1.999999999998181E-2</v>
      </c>
      <c r="S37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38" spans="1:19" x14ac:dyDescent="0.25">
      <c r="A38" t="s">
        <v>47</v>
      </c>
      <c r="B38" s="5">
        <v>289.98</v>
      </c>
      <c r="C38" s="5">
        <v>289.82</v>
      </c>
      <c r="D38" s="5">
        <v>289.82</v>
      </c>
      <c r="E38" s="5">
        <f>ABS(Table1[[#This Row],[Opening-SIX]]-Table1[[#This Row],[Opening MarketStack unAdj]])</f>
        <v>0.16000000000002501</v>
      </c>
      <c r="F38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G38" s="5">
        <v>289.58</v>
      </c>
      <c r="H38" s="5">
        <v>289.82</v>
      </c>
      <c r="I38" s="5">
        <f>ABS(Table1[[#This Row],[Opening MarketStack adj]]-Table1[[#This Row],[Opening StockData]])</f>
        <v>0.24000000000000909</v>
      </c>
      <c r="J38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0.20 - 0.40</v>
      </c>
      <c r="K38" s="3">
        <v>288.23</v>
      </c>
      <c r="L38" s="3">
        <v>288.23</v>
      </c>
      <c r="M38" s="3">
        <v>288.23</v>
      </c>
      <c r="N38" s="3">
        <f>ABS(Table1[[#This Row],[Closing SIX]]-Table1[[#This Row],[Closing MarketStack unAdj]])</f>
        <v>0</v>
      </c>
      <c r="O38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38" s="3">
        <v>288.20999999999998</v>
      </c>
      <c r="Q38" s="3">
        <v>288.23</v>
      </c>
      <c r="R38" s="3">
        <f>ABS(Table1[[#This Row],[Closing MarketStack adj]]-Table1[[#This Row],[Closing StockData]])</f>
        <v>2.0000000000038654E-2</v>
      </c>
      <c r="S38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39" spans="1:19" x14ac:dyDescent="0.25">
      <c r="A39" t="s">
        <v>48</v>
      </c>
      <c r="B39" s="5">
        <v>294.16000000000003</v>
      </c>
      <c r="C39" s="5">
        <v>294.16000000000003</v>
      </c>
      <c r="D39" s="5">
        <v>294.16000000000003</v>
      </c>
      <c r="E39" s="5">
        <f>ABS(Table1[[#This Row],[Opening-SIX]]-Table1[[#This Row],[Opening MarketStack unAdj]])</f>
        <v>0</v>
      </c>
      <c r="F39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G39" s="5">
        <v>293.70999999999998</v>
      </c>
      <c r="H39" s="5">
        <v>294.16000000000003</v>
      </c>
      <c r="I39" s="5">
        <f>ABS(Table1[[#This Row],[Opening MarketStack adj]]-Table1[[#This Row],[Opening StockData]])</f>
        <v>0.45000000000004547</v>
      </c>
      <c r="J39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0.40 - 0.60</v>
      </c>
      <c r="K39" s="3">
        <v>289.45999999999998</v>
      </c>
      <c r="L39" s="3">
        <v>289.45999999999998</v>
      </c>
      <c r="M39" s="3">
        <v>289.45999999999998</v>
      </c>
      <c r="N39" s="3">
        <f>ABS(Table1[[#This Row],[Closing SIX]]-Table1[[#This Row],[Closing MarketStack unAdj]])</f>
        <v>0</v>
      </c>
      <c r="O39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39" s="3">
        <v>289.52999999999997</v>
      </c>
      <c r="Q39" s="3">
        <v>289.45999999999998</v>
      </c>
      <c r="R39" s="3">
        <f>ABS(Table1[[#This Row],[Closing MarketStack adj]]-Table1[[#This Row],[Closing StockData]])</f>
        <v>6.9999999999993179E-2</v>
      </c>
      <c r="S39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40" spans="1:19" x14ac:dyDescent="0.25">
      <c r="A40" t="s">
        <v>49</v>
      </c>
      <c r="B40" s="5">
        <v>295.55</v>
      </c>
      <c r="C40" s="5">
        <v>295.55</v>
      </c>
      <c r="D40" s="5">
        <v>295.55</v>
      </c>
      <c r="E40" s="5">
        <f>ABS(Table1[[#This Row],[Opening-SIX]]-Table1[[#This Row],[Opening MarketStack unAdj]])</f>
        <v>0</v>
      </c>
      <c r="F40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G40" s="5">
        <v>295.58</v>
      </c>
      <c r="H40" s="5">
        <v>295.55</v>
      </c>
      <c r="I40" s="5">
        <f>ABS(Table1[[#This Row],[Opening MarketStack adj]]-Table1[[#This Row],[Opening StockData]])</f>
        <v>2.9999999999972715E-2</v>
      </c>
      <c r="J40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K40" s="3">
        <v>293.87</v>
      </c>
      <c r="L40" s="3">
        <v>293.87</v>
      </c>
      <c r="M40" s="3">
        <v>293.87</v>
      </c>
      <c r="N40" s="3">
        <f>ABS(Table1[[#This Row],[Closing SIX]]-Table1[[#This Row],[Closing MarketStack unAdj]])</f>
        <v>0</v>
      </c>
      <c r="O40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40" s="3">
        <v>293.91000000000003</v>
      </c>
      <c r="Q40" s="3">
        <v>293.87</v>
      </c>
      <c r="R40" s="3">
        <f>ABS(Table1[[#This Row],[Closing MarketStack adj]]-Table1[[#This Row],[Closing StockData]])</f>
        <v>4.0000000000020464E-2</v>
      </c>
      <c r="S40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41" spans="1:19" x14ac:dyDescent="0.25">
      <c r="A41" t="s">
        <v>50</v>
      </c>
      <c r="B41" s="5">
        <v>288.61</v>
      </c>
      <c r="C41" s="5">
        <v>288.61</v>
      </c>
      <c r="D41" s="5">
        <v>288.61</v>
      </c>
      <c r="E41" s="5">
        <f>ABS(Table1[[#This Row],[Opening-SIX]]-Table1[[#This Row],[Opening MarketStack unAdj]])</f>
        <v>0</v>
      </c>
      <c r="F41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G41" s="5">
        <v>288.60000000000002</v>
      </c>
      <c r="H41" s="5">
        <v>288.61</v>
      </c>
      <c r="I41" s="5">
        <f>ABS(Table1[[#This Row],[Opening MarketStack adj]]-Table1[[#This Row],[Opening StockData]])</f>
        <v>9.9999999999909051E-3</v>
      </c>
      <c r="J41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K41" s="3">
        <v>289.42</v>
      </c>
      <c r="L41" s="3">
        <v>289.42</v>
      </c>
      <c r="M41" s="3">
        <v>289.42</v>
      </c>
      <c r="N41" s="3">
        <f>ABS(Table1[[#This Row],[Closing SIX]]-Table1[[#This Row],[Closing MarketStack unAdj]])</f>
        <v>0</v>
      </c>
      <c r="O41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41" s="3">
        <v>289.47000000000003</v>
      </c>
      <c r="Q41" s="3">
        <v>289.42</v>
      </c>
      <c r="R41" s="3">
        <f>ABS(Table1[[#This Row],[Closing MarketStack adj]]-Table1[[#This Row],[Closing StockData]])</f>
        <v>5.0000000000011369E-2</v>
      </c>
      <c r="S41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42" spans="1:19" x14ac:dyDescent="0.25">
      <c r="A42" t="s">
        <v>51</v>
      </c>
      <c r="B42" s="5">
        <v>287.5</v>
      </c>
      <c r="C42" s="5">
        <v>287.5</v>
      </c>
      <c r="D42" s="5">
        <v>287.5</v>
      </c>
      <c r="E42" s="5">
        <f>ABS(Table1[[#This Row],[Opening-SIX]]-Table1[[#This Row],[Opening MarketStack unAdj]])</f>
        <v>0</v>
      </c>
      <c r="F42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G42" s="5">
        <v>287.58</v>
      </c>
      <c r="H42" s="5">
        <v>287.5</v>
      </c>
      <c r="I42" s="5">
        <f>ABS(Table1[[#This Row],[Opening MarketStack adj]]-Table1[[#This Row],[Opening StockData]])</f>
        <v>7.9999999999984084E-2</v>
      </c>
      <c r="J42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K42" s="3">
        <v>288.37</v>
      </c>
      <c r="L42" s="3">
        <v>288.37</v>
      </c>
      <c r="M42" s="3">
        <v>288.37</v>
      </c>
      <c r="N42" s="3">
        <f>ABS(Table1[[#This Row],[Closing SIX]]-Table1[[#This Row],[Closing MarketStack unAdj]])</f>
        <v>0</v>
      </c>
      <c r="O42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42" s="3">
        <v>288.39</v>
      </c>
      <c r="Q42" s="3">
        <v>288.37</v>
      </c>
      <c r="R42" s="3">
        <f>ABS(Table1[[#This Row],[Closing MarketStack adj]]-Table1[[#This Row],[Closing StockData]])</f>
        <v>1.999999999998181E-2</v>
      </c>
      <c r="S42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43" spans="1:19" x14ac:dyDescent="0.25">
      <c r="A43" t="s">
        <v>52</v>
      </c>
      <c r="B43" s="5">
        <v>286.45999999999998</v>
      </c>
      <c r="C43" s="5">
        <v>285.79000000000002</v>
      </c>
      <c r="D43" s="5">
        <v>285.79000000000002</v>
      </c>
      <c r="E43" s="5">
        <f>ABS(Table1[[#This Row],[Opening-SIX]]-Table1[[#This Row],[Opening MarketStack unAdj]])</f>
        <v>0.66999999999995907</v>
      </c>
      <c r="F43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0.60 - 0.80</v>
      </c>
      <c r="G43" s="5">
        <v>286.05</v>
      </c>
      <c r="H43" s="5">
        <v>285.79000000000002</v>
      </c>
      <c r="I43" s="5">
        <f>ABS(Table1[[#This Row],[Opening MarketStack adj]]-Table1[[#This Row],[Opening StockData]])</f>
        <v>0.25999999999999091</v>
      </c>
      <c r="J43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0.20 - 0.40</v>
      </c>
      <c r="K43" s="3">
        <v>286.72000000000003</v>
      </c>
      <c r="L43" s="3">
        <v>286.72000000000003</v>
      </c>
      <c r="M43" s="3">
        <v>286.72000000000003</v>
      </c>
      <c r="N43" s="3">
        <f>ABS(Table1[[#This Row],[Closing SIX]]-Table1[[#This Row],[Closing MarketStack unAdj]])</f>
        <v>0</v>
      </c>
      <c r="O43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43" s="3">
        <v>286.81</v>
      </c>
      <c r="Q43" s="3">
        <v>286.72000000000003</v>
      </c>
      <c r="R43" s="3">
        <f>ABS(Table1[[#This Row],[Closing MarketStack adj]]-Table1[[#This Row],[Closing StockData]])</f>
        <v>8.9999999999974989E-2</v>
      </c>
      <c r="S43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44" spans="1:19" x14ac:dyDescent="0.25">
      <c r="A44" t="s">
        <v>53</v>
      </c>
      <c r="B44" s="5">
        <v>280.2</v>
      </c>
      <c r="C44" s="5">
        <v>280.2</v>
      </c>
      <c r="D44" s="5">
        <v>280.2</v>
      </c>
      <c r="E44" s="5">
        <f>ABS(Table1[[#This Row],[Opening-SIX]]-Table1[[#This Row],[Opening MarketStack unAdj]])</f>
        <v>0</v>
      </c>
      <c r="F44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G44" s="5">
        <v>280.88</v>
      </c>
      <c r="H44" s="5">
        <v>280.2</v>
      </c>
      <c r="I44" s="5">
        <f>ABS(Table1[[#This Row],[Opening MarketStack adj]]-Table1[[#This Row],[Opening StockData]])</f>
        <v>0.68000000000000682</v>
      </c>
      <c r="J44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0.60 - 0.80</v>
      </c>
      <c r="K44" s="3">
        <v>286.49</v>
      </c>
      <c r="L44" s="3">
        <v>286.49</v>
      </c>
      <c r="M44" s="3">
        <v>286.49</v>
      </c>
      <c r="N44" s="3">
        <f>ABS(Table1[[#This Row],[Closing SIX]]-Table1[[#This Row],[Closing MarketStack unAdj]])</f>
        <v>0</v>
      </c>
      <c r="O44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44" s="3">
        <v>286.45999999999998</v>
      </c>
      <c r="Q44" s="3">
        <v>286.49</v>
      </c>
      <c r="R44" s="3">
        <f>ABS(Table1[[#This Row],[Closing MarketStack adj]]-Table1[[#This Row],[Closing StockData]])</f>
        <v>3.0000000000029559E-2</v>
      </c>
      <c r="S44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45" spans="1:19" x14ac:dyDescent="0.25">
      <c r="A45" t="s">
        <v>54</v>
      </c>
      <c r="B45" s="5">
        <v>280.88</v>
      </c>
      <c r="C45" s="5">
        <v>280.88</v>
      </c>
      <c r="D45" s="5">
        <v>280.88</v>
      </c>
      <c r="E45" s="5">
        <f>ABS(Table1[[#This Row],[Opening-SIX]]-Table1[[#This Row],[Opening MarketStack unAdj]])</f>
        <v>0</v>
      </c>
      <c r="F45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G45" s="5">
        <v>280.55</v>
      </c>
      <c r="H45" s="5">
        <v>280.88</v>
      </c>
      <c r="I45" s="5">
        <f>ABS(Table1[[#This Row],[Opening MarketStack adj]]-Table1[[#This Row],[Opening StockData]])</f>
        <v>0.32999999999998408</v>
      </c>
      <c r="J45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0.20 - 0.40</v>
      </c>
      <c r="K45" s="3">
        <v>282.16000000000003</v>
      </c>
      <c r="L45" s="3">
        <v>282.16000000000003</v>
      </c>
      <c r="M45" s="3">
        <v>282.16000000000003</v>
      </c>
      <c r="N45" s="3">
        <f>ABS(Table1[[#This Row],[Closing SIX]]-Table1[[#This Row],[Closing MarketStack unAdj]])</f>
        <v>0</v>
      </c>
      <c r="O45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45" s="3">
        <v>282.2</v>
      </c>
      <c r="Q45" s="3">
        <v>282.16000000000003</v>
      </c>
      <c r="R45" s="3">
        <f>ABS(Table1[[#This Row],[Closing MarketStack adj]]-Table1[[#This Row],[Closing StockData]])</f>
        <v>3.999999999996362E-2</v>
      </c>
      <c r="S45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46" spans="1:19" x14ac:dyDescent="0.25">
      <c r="A46" t="s">
        <v>55</v>
      </c>
      <c r="B46" s="5">
        <v>286</v>
      </c>
      <c r="C46" s="5">
        <v>286</v>
      </c>
      <c r="D46" s="5">
        <v>286</v>
      </c>
      <c r="E46" s="5">
        <f>ABS(Table1[[#This Row],[Opening-SIX]]-Table1[[#This Row],[Opening MarketStack unAdj]])</f>
        <v>0</v>
      </c>
      <c r="F46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G46" s="5">
        <v>286</v>
      </c>
      <c r="H46" s="5">
        <v>286</v>
      </c>
      <c r="I46" s="5">
        <f>ABS(Table1[[#This Row],[Opening MarketStack adj]]-Table1[[#This Row],[Opening StockData]])</f>
        <v>0</v>
      </c>
      <c r="J46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K46" s="3">
        <v>279.8</v>
      </c>
      <c r="L46" s="3">
        <v>279.8</v>
      </c>
      <c r="M46" s="3">
        <v>279.8</v>
      </c>
      <c r="N46" s="3">
        <f>ABS(Table1[[#This Row],[Closing SIX]]-Table1[[#This Row],[Closing MarketStack unAdj]])</f>
        <v>0</v>
      </c>
      <c r="O46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46" s="3">
        <v>279.83999999999997</v>
      </c>
      <c r="Q46" s="3">
        <v>279.8</v>
      </c>
      <c r="R46" s="3">
        <f>ABS(Table1[[#This Row],[Closing MarketStack adj]]-Table1[[#This Row],[Closing StockData]])</f>
        <v>3.999999999996362E-2</v>
      </c>
      <c r="S46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47" spans="1:19" x14ac:dyDescent="0.25">
      <c r="A47" t="s">
        <v>56</v>
      </c>
      <c r="B47" s="5">
        <v>280.51</v>
      </c>
      <c r="C47" s="5">
        <v>280.51</v>
      </c>
      <c r="D47" s="5">
        <v>280.51</v>
      </c>
      <c r="E47" s="5">
        <f>ABS(Table1[[#This Row],[Opening-SIX]]-Table1[[#This Row],[Opening MarketStack unAdj]])</f>
        <v>0</v>
      </c>
      <c r="F47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G47" s="5">
        <v>280.7</v>
      </c>
      <c r="H47" s="5">
        <v>280.51</v>
      </c>
      <c r="I47" s="5">
        <f>ABS(Table1[[#This Row],[Opening MarketStack adj]]-Table1[[#This Row],[Opening StockData]])</f>
        <v>0.18999999999999773</v>
      </c>
      <c r="J47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K47" s="3">
        <v>284.31</v>
      </c>
      <c r="L47" s="3">
        <v>284.31</v>
      </c>
      <c r="M47" s="3">
        <v>284.31</v>
      </c>
      <c r="N47" s="3">
        <f>ABS(Table1[[#This Row],[Closing SIX]]-Table1[[#This Row],[Closing MarketStack unAdj]])</f>
        <v>0</v>
      </c>
      <c r="O47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47" s="3">
        <v>284.45999999999998</v>
      </c>
      <c r="Q47" s="3">
        <v>284.31</v>
      </c>
      <c r="R47" s="3">
        <f>ABS(Table1[[#This Row],[Closing MarketStack adj]]-Table1[[#This Row],[Closing StockData]])</f>
        <v>0.14999999999997726</v>
      </c>
      <c r="S47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48" spans="1:19" x14ac:dyDescent="0.25">
      <c r="A48" t="s">
        <v>57</v>
      </c>
      <c r="B48" s="5">
        <v>272.45999999999998</v>
      </c>
      <c r="C48" s="5">
        <v>272.935</v>
      </c>
      <c r="D48" s="5">
        <v>272.94</v>
      </c>
      <c r="E48" s="5">
        <f>ABS(Table1[[#This Row],[Opening-SIX]]-Table1[[#This Row],[Opening MarketStack unAdj]])</f>
        <v>0.48000000000001819</v>
      </c>
      <c r="F48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0.40 - 0.60</v>
      </c>
      <c r="G48" s="5">
        <v>272.98</v>
      </c>
      <c r="H48" s="5">
        <v>272.935</v>
      </c>
      <c r="I48" s="5">
        <f>ABS(Table1[[#This Row],[Opening MarketStack adj]]-Table1[[#This Row],[Opening StockData]])</f>
        <v>4.5000000000015916E-2</v>
      </c>
      <c r="J48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K48" s="3">
        <v>281.44</v>
      </c>
      <c r="L48" s="3">
        <v>281.44</v>
      </c>
      <c r="M48" s="3">
        <v>281.44</v>
      </c>
      <c r="N48" s="3">
        <f>ABS(Table1[[#This Row],[Closing SIX]]-Table1[[#This Row],[Closing MarketStack unAdj]])</f>
        <v>0</v>
      </c>
      <c r="O48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48" s="3">
        <v>281.49</v>
      </c>
      <c r="Q48" s="3">
        <v>281.44</v>
      </c>
      <c r="R48" s="3">
        <f>ABS(Table1[[#This Row],[Closing MarketStack adj]]-Table1[[#This Row],[Closing StockData]])</f>
        <v>5.0000000000011369E-2</v>
      </c>
      <c r="S48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49" spans="1:19" x14ac:dyDescent="0.25">
      <c r="A49" t="s">
        <v>58</v>
      </c>
      <c r="B49" s="5">
        <v>272.62</v>
      </c>
      <c r="C49" s="5">
        <v>272.62</v>
      </c>
      <c r="D49" s="5">
        <v>272.62</v>
      </c>
      <c r="E49" s="5">
        <f>ABS(Table1[[#This Row],[Opening-SIX]]-Table1[[#This Row],[Opening MarketStack unAdj]])</f>
        <v>0</v>
      </c>
      <c r="F49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G49" s="5">
        <v>272.64999999999998</v>
      </c>
      <c r="H49" s="5">
        <v>272.62</v>
      </c>
      <c r="I49" s="5">
        <f>ABS(Table1[[#This Row],[Opening MarketStack adj]]-Table1[[#This Row],[Opening StockData]])</f>
        <v>2.9999999999972715E-2</v>
      </c>
      <c r="J49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K49" s="3">
        <v>267.52999999999997</v>
      </c>
      <c r="L49" s="3">
        <v>267.52999999999997</v>
      </c>
      <c r="M49" s="3">
        <v>267.52999999999997</v>
      </c>
      <c r="N49" s="3">
        <f>ABS(Table1[[#This Row],[Closing SIX]]-Table1[[#This Row],[Closing MarketStack unAdj]])</f>
        <v>0</v>
      </c>
      <c r="O49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49" s="3">
        <v>267.52999999999997</v>
      </c>
      <c r="Q49" s="3">
        <v>267.52999999999997</v>
      </c>
      <c r="R49" s="3">
        <f>ABS(Table1[[#This Row],[Closing MarketStack adj]]-Table1[[#This Row],[Closing StockData]])</f>
        <v>0</v>
      </c>
      <c r="S49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</row>
    <row r="50" spans="1:19" x14ac:dyDescent="0.25">
      <c r="A50" t="s">
        <v>59</v>
      </c>
      <c r="B50" s="5">
        <v>272.36</v>
      </c>
      <c r="C50" s="5">
        <v>272.7</v>
      </c>
      <c r="D50" s="5">
        <v>272.7</v>
      </c>
      <c r="E50" s="5">
        <f>ABS(Table1[[#This Row],[Opening-SIX]]-Table1[[#This Row],[Opening MarketStack unAdj]])</f>
        <v>0.33999999999997499</v>
      </c>
      <c r="F50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0.20 - 0.40</v>
      </c>
      <c r="G50" s="5">
        <v>272.66000000000003</v>
      </c>
      <c r="H50" s="5">
        <v>272.7</v>
      </c>
      <c r="I50" s="5">
        <f>ABS(Table1[[#This Row],[Opening MarketStack adj]]-Table1[[#This Row],[Opening StockData]])</f>
        <v>3.999999999996362E-2</v>
      </c>
      <c r="J50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K50" s="3">
        <v>272.24</v>
      </c>
      <c r="L50" s="3">
        <v>272.24</v>
      </c>
      <c r="M50" s="3">
        <v>272.24</v>
      </c>
      <c r="N50" s="3">
        <f>ABS(Table1[[#This Row],[Closing SIX]]-Table1[[#This Row],[Closing MarketStack unAdj]])</f>
        <v>0</v>
      </c>
      <c r="O50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50" s="3">
        <v>272.22000000000003</v>
      </c>
      <c r="Q50" s="3">
        <v>272.24</v>
      </c>
      <c r="R50" s="3">
        <f>ABS(Table1[[#This Row],[Closing MarketStack adj]]-Table1[[#This Row],[Closing StockData]])</f>
        <v>1.999999999998181E-2</v>
      </c>
      <c r="S50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51" spans="1:19" x14ac:dyDescent="0.25">
      <c r="A51" t="s">
        <v>60</v>
      </c>
      <c r="B51" s="5">
        <v>266.62</v>
      </c>
      <c r="C51" s="5">
        <v>266.62</v>
      </c>
      <c r="D51" s="5">
        <v>266.62</v>
      </c>
      <c r="E51" s="5">
        <f>ABS(Table1[[#This Row],[Opening-SIX]]-Table1[[#This Row],[Opening MarketStack unAdj]])</f>
        <v>0</v>
      </c>
      <c r="F51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G51" s="5">
        <v>266.5</v>
      </c>
      <c r="H51" s="5">
        <v>266.62</v>
      </c>
      <c r="I51" s="5">
        <f>ABS(Table1[[#This Row],[Opening MarketStack adj]]-Table1[[#This Row],[Opening StockData]])</f>
        <v>0.12000000000000455</v>
      </c>
      <c r="J51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K51" s="3">
        <v>271.37</v>
      </c>
      <c r="L51" s="3">
        <v>271.37</v>
      </c>
      <c r="M51" s="3">
        <v>271.37</v>
      </c>
      <c r="N51" s="3">
        <f>ABS(Table1[[#This Row],[Closing SIX]]-Table1[[#This Row],[Closing MarketStack unAdj]])</f>
        <v>0</v>
      </c>
      <c r="O51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51" s="3">
        <v>271.49</v>
      </c>
      <c r="Q51" s="3">
        <v>271.37</v>
      </c>
      <c r="R51" s="3">
        <f>ABS(Table1[[#This Row],[Closing MarketStack adj]]-Table1[[#This Row],[Closing StockData]])</f>
        <v>0.12000000000000455</v>
      </c>
      <c r="S51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52" spans="1:19" x14ac:dyDescent="0.25">
      <c r="A52" t="s">
        <v>61</v>
      </c>
      <c r="B52" s="5">
        <v>266.47000000000003</v>
      </c>
      <c r="C52" s="5">
        <v>266.05</v>
      </c>
      <c r="D52" s="5">
        <v>266.05</v>
      </c>
      <c r="E52" s="5">
        <f>ABS(Table1[[#This Row],[Opening-SIX]]-Table1[[#This Row],[Opening MarketStack unAdj]])</f>
        <v>0.42000000000001592</v>
      </c>
      <c r="F52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0.40 - 0.60</v>
      </c>
      <c r="G52" s="5">
        <v>266.32</v>
      </c>
      <c r="H52" s="5">
        <v>266.05</v>
      </c>
      <c r="I52" s="5">
        <f>ABS(Table1[[#This Row],[Opening MarketStack adj]]-Table1[[#This Row],[Opening StockData]])</f>
        <v>0.26999999999998181</v>
      </c>
      <c r="J52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0.20 - 0.40</v>
      </c>
      <c r="K52" s="3">
        <v>266.39999999999998</v>
      </c>
      <c r="L52" s="3">
        <v>266.39999999999998</v>
      </c>
      <c r="M52" s="3">
        <v>266.39999999999998</v>
      </c>
      <c r="N52" s="3">
        <f>ABS(Table1[[#This Row],[Closing SIX]]-Table1[[#This Row],[Closing MarketStack unAdj]])</f>
        <v>0</v>
      </c>
      <c r="O52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52" s="3">
        <v>266.52</v>
      </c>
      <c r="Q52" s="3">
        <v>266.39999999999998</v>
      </c>
      <c r="R52" s="3">
        <f>ABS(Table1[[#This Row],[Closing MarketStack adj]]-Table1[[#This Row],[Closing StockData]])</f>
        <v>0.12000000000000455</v>
      </c>
      <c r="S52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53" spans="1:19" x14ac:dyDescent="0.25">
      <c r="A53" t="s">
        <v>62</v>
      </c>
      <c r="B53" s="5">
        <v>258.86</v>
      </c>
      <c r="C53" s="5">
        <v>258.86</v>
      </c>
      <c r="D53" s="5">
        <v>258.86</v>
      </c>
      <c r="E53" s="5">
        <f>ABS(Table1[[#This Row],[Opening-SIX]]-Table1[[#This Row],[Opening MarketStack unAdj]])</f>
        <v>0</v>
      </c>
      <c r="F53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G53" s="5">
        <v>258.64999999999998</v>
      </c>
      <c r="H53" s="5">
        <v>258.86</v>
      </c>
      <c r="I53" s="5">
        <f>ABS(Table1[[#This Row],[Opening MarketStack adj]]-Table1[[#This Row],[Opening StockData]])</f>
        <v>0.21000000000003638</v>
      </c>
      <c r="J53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0.20 - 0.40</v>
      </c>
      <c r="K53" s="3">
        <v>265</v>
      </c>
      <c r="L53" s="3">
        <v>265</v>
      </c>
      <c r="M53" s="3">
        <v>265</v>
      </c>
      <c r="N53" s="3">
        <f>ABS(Table1[[#This Row],[Closing SIX]]-Table1[[#This Row],[Closing MarketStack unAdj]])</f>
        <v>0</v>
      </c>
      <c r="O53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53" s="3">
        <v>265.08</v>
      </c>
      <c r="Q53" s="3">
        <v>265</v>
      </c>
      <c r="R53" s="3">
        <f>ABS(Table1[[#This Row],[Closing MarketStack adj]]-Table1[[#This Row],[Closing StockData]])</f>
        <v>7.9999999999984084E-2</v>
      </c>
      <c r="S53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54" spans="1:19" x14ac:dyDescent="0.25">
      <c r="A54" t="s">
        <v>63</v>
      </c>
      <c r="B54" s="5">
        <v>257.64999999999998</v>
      </c>
      <c r="C54" s="5">
        <v>257.495</v>
      </c>
      <c r="D54" s="5">
        <v>257.5</v>
      </c>
      <c r="E54" s="5">
        <f>ABS(Table1[[#This Row],[Opening-SIX]]-Table1[[#This Row],[Opening MarketStack unAdj]])</f>
        <v>0.14999999999997726</v>
      </c>
      <c r="F54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G54" s="5">
        <v>257.35000000000002</v>
      </c>
      <c r="H54" s="5">
        <v>257.495</v>
      </c>
      <c r="I54" s="5">
        <f>ABS(Table1[[#This Row],[Opening MarketStack adj]]-Table1[[#This Row],[Opening StockData]])</f>
        <v>0.14499999999998181</v>
      </c>
      <c r="J54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K54" s="3">
        <v>259.08</v>
      </c>
      <c r="L54" s="3">
        <v>259.08</v>
      </c>
      <c r="M54" s="3">
        <v>259.08</v>
      </c>
      <c r="N54" s="3">
        <f>ABS(Table1[[#This Row],[Closing SIX]]-Table1[[#This Row],[Closing MarketStack unAdj]])</f>
        <v>0</v>
      </c>
      <c r="O54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54" s="3">
        <v>259.07</v>
      </c>
      <c r="Q54" s="3">
        <v>259.08</v>
      </c>
      <c r="R54" s="3">
        <f>ABS(Table1[[#This Row],[Closing MarketStack adj]]-Table1[[#This Row],[Closing StockData]])</f>
        <v>9.9999999999909051E-3</v>
      </c>
      <c r="S54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55" spans="1:19" x14ac:dyDescent="0.25">
      <c r="A55" t="s">
        <v>64</v>
      </c>
      <c r="B55" s="5">
        <v>255.85</v>
      </c>
      <c r="C55" s="5">
        <v>256.26</v>
      </c>
      <c r="D55" s="5">
        <v>256.26</v>
      </c>
      <c r="E55" s="5">
        <f>ABS(Table1[[#This Row],[Opening-SIX]]-Table1[[#This Row],[Opening MarketStack unAdj]])</f>
        <v>0.40999999999999659</v>
      </c>
      <c r="F55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0.40 - 0.60</v>
      </c>
      <c r="G55" s="5">
        <v>255.83</v>
      </c>
      <c r="H55" s="5">
        <v>256.26</v>
      </c>
      <c r="I55" s="5">
        <f>ABS(Table1[[#This Row],[Opening MarketStack adj]]-Table1[[#This Row],[Opening StockData]])</f>
        <v>0.4299999999999784</v>
      </c>
      <c r="J55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0.40 - 0.60</v>
      </c>
      <c r="K55" s="3">
        <v>257.52</v>
      </c>
      <c r="L55" s="3">
        <v>257.52</v>
      </c>
      <c r="M55" s="3">
        <v>257.52</v>
      </c>
      <c r="N55" s="3">
        <f>ABS(Table1[[#This Row],[Closing SIX]]-Table1[[#This Row],[Closing MarketStack unAdj]])</f>
        <v>0</v>
      </c>
      <c r="O55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55" s="3">
        <v>257.61</v>
      </c>
      <c r="Q55" s="3">
        <v>257.52</v>
      </c>
      <c r="R55" s="3">
        <f>ABS(Table1[[#This Row],[Closing MarketStack adj]]-Table1[[#This Row],[Closing StockData]])</f>
        <v>9.0000000000031832E-2</v>
      </c>
      <c r="S55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56" spans="1:19" x14ac:dyDescent="0.25">
      <c r="A56" t="s">
        <v>65</v>
      </c>
      <c r="B56" s="5">
        <v>254.36</v>
      </c>
      <c r="C56" s="5">
        <v>254.02</v>
      </c>
      <c r="D56" s="5">
        <v>254.02</v>
      </c>
      <c r="E56" s="5">
        <f>ABS(Table1[[#This Row],[Opening-SIX]]-Table1[[#This Row],[Opening MarketStack unAdj]])</f>
        <v>0.34000000000000341</v>
      </c>
      <c r="F56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0.20 - 0.40</v>
      </c>
      <c r="G56" s="5">
        <v>254.5</v>
      </c>
      <c r="H56" s="5">
        <v>254.02</v>
      </c>
      <c r="I56" s="5">
        <f>ABS(Table1[[#This Row],[Opening MarketStack adj]]-Table1[[#This Row],[Opening StockData]])</f>
        <v>0.47999999999998977</v>
      </c>
      <c r="J56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0.40 - 0.60</v>
      </c>
      <c r="K56" s="3">
        <v>256.24</v>
      </c>
      <c r="L56" s="3">
        <v>256.24</v>
      </c>
      <c r="M56" s="3">
        <v>256.24</v>
      </c>
      <c r="N56" s="3">
        <f>ABS(Table1[[#This Row],[Closing SIX]]-Table1[[#This Row],[Closing MarketStack unAdj]])</f>
        <v>0</v>
      </c>
      <c r="O56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56" s="3">
        <v>256.26</v>
      </c>
      <c r="Q56" s="3">
        <v>256.24</v>
      </c>
      <c r="R56" s="3">
        <f>ABS(Table1[[#This Row],[Closing MarketStack adj]]-Table1[[#This Row],[Closing StockData]])</f>
        <v>1.999999999998181E-2</v>
      </c>
      <c r="S56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57" spans="1:19" x14ac:dyDescent="0.25">
      <c r="A57" t="s">
        <v>66</v>
      </c>
      <c r="B57" s="5">
        <v>256.95</v>
      </c>
      <c r="C57" s="5">
        <v>256.95</v>
      </c>
      <c r="D57" s="5">
        <v>256.95</v>
      </c>
      <c r="E57" s="5">
        <f>ABS(Table1[[#This Row],[Opening-SIX]]-Table1[[#This Row],[Opening MarketStack unAdj]])</f>
        <v>0</v>
      </c>
      <c r="F57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G57" s="5">
        <v>256.92</v>
      </c>
      <c r="H57" s="5">
        <v>256.95</v>
      </c>
      <c r="I57" s="5">
        <f>ABS(Table1[[#This Row],[Opening MarketStack adj]]-Table1[[#This Row],[Opening StockData]])</f>
        <v>2.9999999999972715E-2</v>
      </c>
      <c r="J57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K57" s="3">
        <v>253.44</v>
      </c>
      <c r="L57" s="3">
        <v>253.44</v>
      </c>
      <c r="M57" s="3">
        <v>253.44</v>
      </c>
      <c r="N57" s="3">
        <f>ABS(Table1[[#This Row],[Closing SIX]]-Table1[[#This Row],[Closing MarketStack unAdj]])</f>
        <v>0</v>
      </c>
      <c r="O57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57" s="3">
        <v>253.45</v>
      </c>
      <c r="Q57" s="3">
        <v>253.44</v>
      </c>
      <c r="R57" s="3">
        <f>ABS(Table1[[#This Row],[Closing MarketStack adj]]-Table1[[#This Row],[Closing StockData]])</f>
        <v>9.9999999999909051E-3</v>
      </c>
      <c r="S57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58" spans="1:19" x14ac:dyDescent="0.25">
      <c r="A58" t="s">
        <v>67</v>
      </c>
      <c r="B58" s="5">
        <v>257.24</v>
      </c>
      <c r="C58" s="5">
        <v>257.56</v>
      </c>
      <c r="D58" s="5">
        <v>257.56</v>
      </c>
      <c r="E58" s="5">
        <f>ABS(Table1[[#This Row],[Opening-SIX]]-Table1[[#This Row],[Opening MarketStack unAdj]])</f>
        <v>0.31999999999999318</v>
      </c>
      <c r="F58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0.20 - 0.40</v>
      </c>
      <c r="G58" s="5">
        <v>257.01</v>
      </c>
      <c r="H58" s="5">
        <v>257.56</v>
      </c>
      <c r="I58" s="5">
        <f>ABS(Table1[[#This Row],[Opening MarketStack adj]]-Table1[[#This Row],[Opening StockData]])</f>
        <v>0.55000000000001137</v>
      </c>
      <c r="J58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0.40 - 0.60</v>
      </c>
      <c r="K58" s="3">
        <v>257.01</v>
      </c>
      <c r="L58" s="3">
        <v>257.01</v>
      </c>
      <c r="M58" s="3">
        <v>257.01</v>
      </c>
      <c r="N58" s="3">
        <f>ABS(Table1[[#This Row],[Closing SIX]]-Table1[[#This Row],[Closing MarketStack unAdj]])</f>
        <v>0</v>
      </c>
      <c r="O58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58" s="3">
        <v>256.94</v>
      </c>
      <c r="Q58" s="3">
        <v>257.01</v>
      </c>
      <c r="R58" s="3">
        <f>ABS(Table1[[#This Row],[Closing MarketStack adj]]-Table1[[#This Row],[Closing StockData]])</f>
        <v>6.9999999999993179E-2</v>
      </c>
      <c r="S58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59" spans="1:19" x14ac:dyDescent="0.25">
      <c r="A59" t="s">
        <v>68</v>
      </c>
      <c r="B59" s="5">
        <v>259.5</v>
      </c>
      <c r="C59" s="5">
        <v>259.64999999999998</v>
      </c>
      <c r="D59" s="5">
        <v>259.64999999999998</v>
      </c>
      <c r="E59" s="5">
        <f>ABS(Table1[[#This Row],[Opening-SIX]]-Table1[[#This Row],[Opening MarketStack unAdj]])</f>
        <v>0.14999999999997726</v>
      </c>
      <c r="F59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G59" s="5">
        <v>259.76</v>
      </c>
      <c r="H59" s="5">
        <v>259.64999999999998</v>
      </c>
      <c r="I59" s="5">
        <f>ABS(Table1[[#This Row],[Opening MarketStack adj]]-Table1[[#This Row],[Opening StockData]])</f>
        <v>0.11000000000001364</v>
      </c>
      <c r="J59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K59" s="3">
        <v>256.88</v>
      </c>
      <c r="L59" s="3">
        <v>256.88</v>
      </c>
      <c r="M59" s="3">
        <v>256.88</v>
      </c>
      <c r="N59" s="3">
        <f>ABS(Table1[[#This Row],[Closing SIX]]-Table1[[#This Row],[Closing MarketStack unAdj]])</f>
        <v>0</v>
      </c>
      <c r="O59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59" s="3">
        <v>256.88</v>
      </c>
      <c r="Q59" s="3">
        <v>256.88</v>
      </c>
      <c r="R59" s="3">
        <f>ABS(Table1[[#This Row],[Closing MarketStack adj]]-Table1[[#This Row],[Closing StockData]])</f>
        <v>0</v>
      </c>
      <c r="S59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</row>
    <row r="60" spans="1:19" x14ac:dyDescent="0.25">
      <c r="A60" t="s">
        <v>69</v>
      </c>
      <c r="B60" s="5">
        <v>256.12</v>
      </c>
      <c r="C60" s="5">
        <v>256.12</v>
      </c>
      <c r="D60" s="5">
        <v>256.12</v>
      </c>
      <c r="E60" s="5">
        <f>ABS(Table1[[#This Row],[Opening-SIX]]-Table1[[#This Row],[Opening MarketStack unAdj]])</f>
        <v>0</v>
      </c>
      <c r="F60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G60" s="5">
        <v>256.18</v>
      </c>
      <c r="H60" s="5">
        <v>256.12</v>
      </c>
      <c r="I60" s="5">
        <f>ABS(Table1[[#This Row],[Opening MarketStack adj]]-Table1[[#This Row],[Opening StockData]])</f>
        <v>6.0000000000002274E-2</v>
      </c>
      <c r="J60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K60" s="3">
        <v>259.11</v>
      </c>
      <c r="L60" s="3">
        <v>259.11</v>
      </c>
      <c r="M60" s="3">
        <v>259.11</v>
      </c>
      <c r="N60" s="3">
        <f>ABS(Table1[[#This Row],[Closing SIX]]-Table1[[#This Row],[Closing MarketStack unAdj]])</f>
        <v>0</v>
      </c>
      <c r="O60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60" s="3">
        <v>259.05</v>
      </c>
      <c r="Q60" s="3">
        <v>259.11</v>
      </c>
      <c r="R60" s="3">
        <f>ABS(Table1[[#This Row],[Closing MarketStack adj]]-Table1[[#This Row],[Closing StockData]])</f>
        <v>6.0000000000002274E-2</v>
      </c>
      <c r="S60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61" spans="1:19" x14ac:dyDescent="0.25">
      <c r="A61" t="s">
        <v>70</v>
      </c>
      <c r="B61" s="5">
        <v>248.63</v>
      </c>
      <c r="C61" s="5">
        <v>248.63</v>
      </c>
      <c r="D61" s="5">
        <v>248.63</v>
      </c>
      <c r="E61" s="5">
        <f>ABS(Table1[[#This Row],[Opening-SIX]]-Table1[[#This Row],[Opening MarketStack unAdj]])</f>
        <v>0</v>
      </c>
      <c r="F61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G61" s="5">
        <v>249.02</v>
      </c>
      <c r="H61" s="5">
        <v>248.63</v>
      </c>
      <c r="I61" s="5">
        <f>ABS(Table1[[#This Row],[Opening MarketStack adj]]-Table1[[#This Row],[Opening StockData]])</f>
        <v>0.39000000000001478</v>
      </c>
      <c r="J61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0.20 - 0.40</v>
      </c>
      <c r="K61" s="3">
        <v>256.08999999999997</v>
      </c>
      <c r="L61" s="3">
        <v>256.08999999999997</v>
      </c>
      <c r="M61" s="3">
        <v>256.08999999999997</v>
      </c>
      <c r="N61" s="3">
        <f>ABS(Table1[[#This Row],[Closing SIX]]-Table1[[#This Row],[Closing MarketStack unAdj]])</f>
        <v>0</v>
      </c>
      <c r="O61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61" s="3">
        <v>256.10000000000002</v>
      </c>
      <c r="Q61" s="3">
        <v>256.08999999999997</v>
      </c>
      <c r="R61" s="3">
        <f>ABS(Table1[[#This Row],[Closing MarketStack adj]]-Table1[[#This Row],[Closing StockData]])</f>
        <v>1.0000000000047748E-2</v>
      </c>
      <c r="S61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62" spans="1:19" x14ac:dyDescent="0.25">
      <c r="A62" t="s">
        <v>71</v>
      </c>
      <c r="B62" s="5">
        <v>248.23</v>
      </c>
      <c r="C62" s="5">
        <v>248.23</v>
      </c>
      <c r="D62" s="5">
        <v>248.23</v>
      </c>
      <c r="E62" s="5">
        <f>ABS(Table1[[#This Row],[Opening-SIX]]-Table1[[#This Row],[Opening MarketStack unAdj]])</f>
        <v>0</v>
      </c>
      <c r="F62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G62" s="5">
        <v>248.09</v>
      </c>
      <c r="H62" s="5">
        <v>248.23</v>
      </c>
      <c r="I62" s="5">
        <f>ABS(Table1[[#This Row],[Opening MarketStack adj]]-Table1[[#This Row],[Opening StockData]])</f>
        <v>0.13999999999998636</v>
      </c>
      <c r="J62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K62" s="3">
        <v>248.53</v>
      </c>
      <c r="L62" s="3">
        <v>248.53</v>
      </c>
      <c r="M62" s="3">
        <v>248.53</v>
      </c>
      <c r="N62" s="3">
        <f>ABS(Table1[[#This Row],[Closing SIX]]-Table1[[#This Row],[Closing MarketStack unAdj]])</f>
        <v>0</v>
      </c>
      <c r="O62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62" s="3">
        <v>248.65</v>
      </c>
      <c r="Q62" s="3">
        <v>248.53</v>
      </c>
      <c r="R62" s="3">
        <f>ABS(Table1[[#This Row],[Closing MarketStack adj]]-Table1[[#This Row],[Closing StockData]])</f>
        <v>0.12000000000000455</v>
      </c>
      <c r="S62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63" spans="1:19" x14ac:dyDescent="0.25">
      <c r="A63" t="s">
        <v>72</v>
      </c>
      <c r="B63" s="5">
        <v>245.42</v>
      </c>
      <c r="C63" s="5">
        <v>245.42</v>
      </c>
      <c r="D63" s="5">
        <v>245.42</v>
      </c>
      <c r="E63" s="5">
        <f>ABS(Table1[[#This Row],[Opening-SIX]]-Table1[[#This Row],[Opening MarketStack unAdj]])</f>
        <v>0</v>
      </c>
      <c r="F63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G63" s="5">
        <v>245.22</v>
      </c>
      <c r="H63" s="5">
        <v>245.42</v>
      </c>
      <c r="I63" s="5">
        <f>ABS(Table1[[#This Row],[Opening MarketStack adj]]-Table1[[#This Row],[Opening StockData]])</f>
        <v>0.19999999999998863</v>
      </c>
      <c r="J63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K63" s="3">
        <v>247.18</v>
      </c>
      <c r="L63" s="3">
        <v>247.18</v>
      </c>
      <c r="M63" s="3">
        <v>247.18</v>
      </c>
      <c r="N63" s="3">
        <f>ABS(Table1[[#This Row],[Closing SIX]]-Table1[[#This Row],[Closing MarketStack unAdj]])</f>
        <v>0</v>
      </c>
      <c r="O63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63" s="3">
        <v>247.19</v>
      </c>
      <c r="Q63" s="3">
        <v>247.18</v>
      </c>
      <c r="R63" s="3">
        <f>ABS(Table1[[#This Row],[Closing MarketStack adj]]-Table1[[#This Row],[Closing StockData]])</f>
        <v>9.9999999999909051E-3</v>
      </c>
      <c r="S63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64" spans="1:19" x14ac:dyDescent="0.25">
      <c r="A64" t="s">
        <v>73</v>
      </c>
      <c r="B64" s="5">
        <v>240.52</v>
      </c>
      <c r="C64" s="5">
        <v>240.02</v>
      </c>
      <c r="D64" s="5">
        <v>240.02</v>
      </c>
      <c r="E64" s="5">
        <f>ABS(Table1[[#This Row],[Opening-SIX]]-Table1[[#This Row],[Opening MarketStack unAdj]])</f>
        <v>0.5</v>
      </c>
      <c r="F64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0.40 - 0.60</v>
      </c>
      <c r="G64" s="5">
        <v>240.38</v>
      </c>
      <c r="H64" s="5">
        <v>240.02</v>
      </c>
      <c r="I64" s="5">
        <f>ABS(Table1[[#This Row],[Opening MarketStack adj]]-Table1[[#This Row],[Opening StockData]])</f>
        <v>0.35999999999998522</v>
      </c>
      <c r="J64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0.20 - 0.40</v>
      </c>
      <c r="K64" s="3">
        <v>244.1</v>
      </c>
      <c r="L64" s="3">
        <v>244.1</v>
      </c>
      <c r="M64" s="3">
        <v>244.1</v>
      </c>
      <c r="N64" s="3">
        <f>ABS(Table1[[#This Row],[Closing SIX]]-Table1[[#This Row],[Closing MarketStack unAdj]])</f>
        <v>0</v>
      </c>
      <c r="O64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64" s="3">
        <v>244.06</v>
      </c>
      <c r="Q64" s="3">
        <v>244.1</v>
      </c>
      <c r="R64" s="3">
        <f>ABS(Table1[[#This Row],[Closing MarketStack adj]]-Table1[[#This Row],[Closing StockData]])</f>
        <v>3.9999999999992042E-2</v>
      </c>
      <c r="S64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65" spans="1:19" x14ac:dyDescent="0.25">
      <c r="A65" t="s">
        <v>74</v>
      </c>
      <c r="B65" s="5">
        <v>240.11</v>
      </c>
      <c r="C65" s="5">
        <v>240.9</v>
      </c>
      <c r="D65" s="5">
        <v>240.9</v>
      </c>
      <c r="E65" s="5">
        <f>ABS(Table1[[#This Row],[Opening-SIX]]-Table1[[#This Row],[Opening MarketStack unAdj]])</f>
        <v>0.78999999999999204</v>
      </c>
      <c r="F65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0.60 - 0.80</v>
      </c>
      <c r="G65" s="5">
        <v>240.46</v>
      </c>
      <c r="H65" s="5">
        <v>240.9</v>
      </c>
      <c r="I65" s="5">
        <f>ABS(Table1[[#This Row],[Opening MarketStack adj]]-Table1[[#This Row],[Opening StockData]])</f>
        <v>0.43999999999999773</v>
      </c>
      <c r="J65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0.40 - 0.60</v>
      </c>
      <c r="K65" s="3">
        <v>241.5</v>
      </c>
      <c r="L65" s="3">
        <v>241.5</v>
      </c>
      <c r="M65" s="3">
        <v>241.5</v>
      </c>
      <c r="N65" s="3">
        <f>ABS(Table1[[#This Row],[Closing SIX]]-Table1[[#This Row],[Closing MarketStack unAdj]])</f>
        <v>0</v>
      </c>
      <c r="O65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65" s="3">
        <v>241.5</v>
      </c>
      <c r="Q65" s="3">
        <v>241.5</v>
      </c>
      <c r="R65" s="3">
        <f>ABS(Table1[[#This Row],[Closing MarketStack adj]]-Table1[[#This Row],[Closing StockData]])</f>
        <v>0</v>
      </c>
      <c r="S65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</row>
    <row r="66" spans="1:19" x14ac:dyDescent="0.25">
      <c r="A66" t="s">
        <v>75</v>
      </c>
      <c r="B66" s="5">
        <v>245.23</v>
      </c>
      <c r="C66" s="5">
        <v>245.23</v>
      </c>
      <c r="D66" s="5">
        <v>245.23</v>
      </c>
      <c r="E66" s="5">
        <f>ABS(Table1[[#This Row],[Opening-SIX]]-Table1[[#This Row],[Opening MarketStack unAdj]])</f>
        <v>0</v>
      </c>
      <c r="F66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G66" s="5">
        <v>245.2</v>
      </c>
      <c r="H66" s="5">
        <v>245.23</v>
      </c>
      <c r="I66" s="5">
        <f>ABS(Table1[[#This Row],[Opening MarketStack adj]]-Table1[[#This Row],[Opening StockData]])</f>
        <v>3.0000000000001137E-2</v>
      </c>
      <c r="J66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K66" s="3">
        <v>243.49</v>
      </c>
      <c r="L66" s="3">
        <v>243.49</v>
      </c>
      <c r="M66" s="3">
        <v>243.49</v>
      </c>
      <c r="N66" s="3">
        <f>ABS(Table1[[#This Row],[Closing SIX]]-Table1[[#This Row],[Closing MarketStack unAdj]])</f>
        <v>0</v>
      </c>
      <c r="O66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66" s="3">
        <v>243.57</v>
      </c>
      <c r="Q66" s="3">
        <v>243.49</v>
      </c>
      <c r="R66" s="3">
        <f>ABS(Table1[[#This Row],[Closing MarketStack adj]]-Table1[[#This Row],[Closing StockData]])</f>
        <v>7.9999999999984084E-2</v>
      </c>
      <c r="S66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67" spans="1:19" x14ac:dyDescent="0.25">
      <c r="A67" t="s">
        <v>76</v>
      </c>
      <c r="B67" s="5">
        <v>245.43</v>
      </c>
      <c r="C67" s="5">
        <v>245.43</v>
      </c>
      <c r="D67" s="5">
        <v>245.43</v>
      </c>
      <c r="E67" s="5">
        <f>ABS(Table1[[#This Row],[Opening-SIX]]-Table1[[#This Row],[Opening MarketStack unAdj]])</f>
        <v>0</v>
      </c>
      <c r="F67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G67" s="5">
        <v>245.7</v>
      </c>
      <c r="H67" s="5">
        <v>245.43</v>
      </c>
      <c r="I67" s="5">
        <f>ABS(Table1[[#This Row],[Opening MarketStack adj]]-Table1[[#This Row],[Opening StockData]])</f>
        <v>0.26999999999998181</v>
      </c>
      <c r="J67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0.20 - 0.40</v>
      </c>
      <c r="K67" s="3">
        <v>245.73</v>
      </c>
      <c r="L67" s="3">
        <v>245.73</v>
      </c>
      <c r="M67" s="3">
        <v>245.73</v>
      </c>
      <c r="N67" s="3">
        <f>ABS(Table1[[#This Row],[Closing SIX]]-Table1[[#This Row],[Closing MarketStack unAdj]])</f>
        <v>0</v>
      </c>
      <c r="O67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67" s="3">
        <v>245.72</v>
      </c>
      <c r="Q67" s="3">
        <v>245.73</v>
      </c>
      <c r="R67" s="3">
        <f>ABS(Table1[[#This Row],[Closing MarketStack adj]]-Table1[[#This Row],[Closing StockData]])</f>
        <v>9.9999999999909051E-3</v>
      </c>
      <c r="S67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68" spans="1:19" x14ac:dyDescent="0.25">
      <c r="A68" t="s">
        <v>77</v>
      </c>
      <c r="B68" s="5">
        <v>242.87</v>
      </c>
      <c r="C68" s="5">
        <v>242.87</v>
      </c>
      <c r="D68" s="5">
        <v>242.87</v>
      </c>
      <c r="E68" s="5">
        <f>ABS(Table1[[#This Row],[Opening-SIX]]-Table1[[#This Row],[Opening MarketStack unAdj]])</f>
        <v>0</v>
      </c>
      <c r="F68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G68" s="5">
        <v>242.79</v>
      </c>
      <c r="H68" s="5">
        <v>242.87</v>
      </c>
      <c r="I68" s="5">
        <f>ABS(Table1[[#This Row],[Opening MarketStack adj]]-Table1[[#This Row],[Opening StockData]])</f>
        <v>8.0000000000012506E-2</v>
      </c>
      <c r="J68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K68" s="3">
        <v>244.84</v>
      </c>
      <c r="L68" s="3">
        <v>244.84</v>
      </c>
      <c r="M68" s="3">
        <v>244.84</v>
      </c>
      <c r="N68" s="3">
        <f>ABS(Table1[[#This Row],[Closing SIX]]-Table1[[#This Row],[Closing MarketStack unAdj]])</f>
        <v>0</v>
      </c>
      <c r="O68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68" s="3">
        <v>244.86</v>
      </c>
      <c r="Q68" s="3">
        <v>244.84</v>
      </c>
      <c r="R68" s="3">
        <f>ABS(Table1[[#This Row],[Closing MarketStack adj]]-Table1[[#This Row],[Closing StockData]])</f>
        <v>2.0000000000010232E-2</v>
      </c>
      <c r="S68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69" spans="1:19" x14ac:dyDescent="0.25">
      <c r="A69" t="s">
        <v>78</v>
      </c>
      <c r="B69" s="5">
        <v>241.02</v>
      </c>
      <c r="C69" s="5">
        <v>241.02</v>
      </c>
      <c r="D69" s="5">
        <v>241.02</v>
      </c>
      <c r="E69" s="5">
        <f>ABS(Table1[[#This Row],[Opening-SIX]]-Table1[[#This Row],[Opening MarketStack unAdj]])</f>
        <v>0</v>
      </c>
      <c r="F69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G69" s="5">
        <v>241.21</v>
      </c>
      <c r="H69" s="5">
        <v>241.02</v>
      </c>
      <c r="I69" s="5">
        <f>ABS(Table1[[#This Row],[Opening MarketStack adj]]-Table1[[#This Row],[Opening StockData]])</f>
        <v>0.18999999999999773</v>
      </c>
      <c r="J69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K69" s="3">
        <v>242.63</v>
      </c>
      <c r="L69" s="3">
        <v>242.63</v>
      </c>
      <c r="M69" s="3">
        <v>242.63</v>
      </c>
      <c r="N69" s="3">
        <f>ABS(Table1[[#This Row],[Closing SIX]]-Table1[[#This Row],[Closing MarketStack unAdj]])</f>
        <v>0</v>
      </c>
      <c r="O69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69" s="3">
        <v>242.5</v>
      </c>
      <c r="Q69" s="3">
        <v>242.63</v>
      </c>
      <c r="R69" s="3">
        <f>ABS(Table1[[#This Row],[Closing MarketStack adj]]-Table1[[#This Row],[Closing StockData]])</f>
        <v>0.12999999999999545</v>
      </c>
      <c r="S69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70" spans="1:19" x14ac:dyDescent="0.25">
      <c r="A70" t="s">
        <v>79</v>
      </c>
      <c r="B70" s="5">
        <v>242.31</v>
      </c>
      <c r="C70" s="5">
        <v>242.565</v>
      </c>
      <c r="D70" s="5">
        <v>242.57</v>
      </c>
      <c r="E70" s="5">
        <f>ABS(Table1[[#This Row],[Opening-SIX]]-Table1[[#This Row],[Opening MarketStack unAdj]])</f>
        <v>0.25999999999999091</v>
      </c>
      <c r="F70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0.20 - 0.40</v>
      </c>
      <c r="G70" s="5">
        <v>242.57</v>
      </c>
      <c r="H70" s="5">
        <v>242.565</v>
      </c>
      <c r="I70" s="5">
        <f>ABS(Table1[[#This Row],[Opening MarketStack adj]]-Table1[[#This Row],[Opening StockData]])</f>
        <v>4.9999999999954525E-3</v>
      </c>
      <c r="J70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K70" s="3">
        <v>239.43</v>
      </c>
      <c r="L70" s="3">
        <v>239.43</v>
      </c>
      <c r="M70" s="3">
        <v>239.43</v>
      </c>
      <c r="N70" s="3">
        <f>ABS(Table1[[#This Row],[Closing SIX]]-Table1[[#This Row],[Closing MarketStack unAdj]])</f>
        <v>0</v>
      </c>
      <c r="O70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70" s="3">
        <v>239.51</v>
      </c>
      <c r="Q70" s="3">
        <v>239.43</v>
      </c>
      <c r="R70" s="3">
        <f>ABS(Table1[[#This Row],[Closing MarketStack adj]]-Table1[[#This Row],[Closing StockData]])</f>
        <v>7.9999999999984084E-2</v>
      </c>
      <c r="S70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71" spans="1:19" x14ac:dyDescent="0.25">
      <c r="A71" t="s">
        <v>80</v>
      </c>
      <c r="B71" s="5">
        <v>240.75</v>
      </c>
      <c r="C71" s="5">
        <v>240.74</v>
      </c>
      <c r="D71" s="5">
        <v>240.74</v>
      </c>
      <c r="E71" s="5">
        <f>ABS(Table1[[#This Row],[Opening-SIX]]-Table1[[#This Row],[Opening MarketStack unAdj]])</f>
        <v>9.9999999999909051E-3</v>
      </c>
      <c r="F71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G71" s="5">
        <v>240.57</v>
      </c>
      <c r="H71" s="5">
        <v>240.74</v>
      </c>
      <c r="I71" s="5">
        <f>ABS(Table1[[#This Row],[Opening MarketStack adj]]-Table1[[#This Row],[Opening StockData]])</f>
        <v>0.17000000000001592</v>
      </c>
      <c r="J71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K71" s="3">
        <v>242.09</v>
      </c>
      <c r="L71" s="3">
        <v>242.09</v>
      </c>
      <c r="M71" s="3">
        <v>242.09</v>
      </c>
      <c r="N71" s="3">
        <f>ABS(Table1[[#This Row],[Closing SIX]]-Table1[[#This Row],[Closing MarketStack unAdj]])</f>
        <v>0</v>
      </c>
      <c r="O71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71" s="3">
        <v>242.02</v>
      </c>
      <c r="Q71" s="3">
        <v>242.09</v>
      </c>
      <c r="R71" s="3">
        <f>ABS(Table1[[#This Row],[Closing MarketStack adj]]-Table1[[#This Row],[Closing StockData]])</f>
        <v>6.9999999999993179E-2</v>
      </c>
      <c r="S71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72" spans="1:19" x14ac:dyDescent="0.25">
      <c r="A72" t="s">
        <v>81</v>
      </c>
      <c r="B72" s="5">
        <v>242.5</v>
      </c>
      <c r="C72" s="5">
        <v>242.21</v>
      </c>
      <c r="D72" s="5">
        <v>242.21</v>
      </c>
      <c r="E72" s="5">
        <f>ABS(Table1[[#This Row],[Opening-SIX]]-Table1[[#This Row],[Opening MarketStack unAdj]])</f>
        <v>0.28999999999999204</v>
      </c>
      <c r="F72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0.20 - 0.40</v>
      </c>
      <c r="G72" s="5">
        <v>241.88</v>
      </c>
      <c r="H72" s="5">
        <v>242.21</v>
      </c>
      <c r="I72" s="5">
        <f>ABS(Table1[[#This Row],[Opening MarketStack adj]]-Table1[[#This Row],[Opening StockData]])</f>
        <v>0.33000000000001251</v>
      </c>
      <c r="J72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0.20 - 0.40</v>
      </c>
      <c r="K72" s="3">
        <v>239.4</v>
      </c>
      <c r="L72" s="3">
        <v>239.4</v>
      </c>
      <c r="M72" s="3">
        <v>239.4</v>
      </c>
      <c r="N72" s="3">
        <f>ABS(Table1[[#This Row],[Closing SIX]]-Table1[[#This Row],[Closing MarketStack unAdj]])</f>
        <v>0</v>
      </c>
      <c r="O72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72" s="3">
        <v>239.35</v>
      </c>
      <c r="Q72" s="3">
        <v>239.4</v>
      </c>
      <c r="R72" s="3">
        <f>ABS(Table1[[#This Row],[Closing MarketStack adj]]-Table1[[#This Row],[Closing StockData]])</f>
        <v>5.0000000000011369E-2</v>
      </c>
      <c r="S72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73" spans="1:19" x14ac:dyDescent="0.25">
      <c r="A73" t="s">
        <v>82</v>
      </c>
      <c r="B73" s="5">
        <v>242.11</v>
      </c>
      <c r="C73" s="5">
        <v>242.11</v>
      </c>
      <c r="D73" s="5">
        <v>242.11</v>
      </c>
      <c r="E73" s="5">
        <f>ABS(Table1[[#This Row],[Opening-SIX]]-Table1[[#This Row],[Opening MarketStack unAdj]])</f>
        <v>0</v>
      </c>
      <c r="F73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G73" s="5">
        <v>241.85</v>
      </c>
      <c r="H73" s="5">
        <v>242.11</v>
      </c>
      <c r="I73" s="5">
        <f>ABS(Table1[[#This Row],[Opening MarketStack adj]]-Table1[[#This Row],[Opening StockData]])</f>
        <v>0.26000000000001933</v>
      </c>
      <c r="J73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0.20 - 0.40</v>
      </c>
      <c r="K73" s="3">
        <v>242.55</v>
      </c>
      <c r="L73" s="3">
        <v>242.55</v>
      </c>
      <c r="M73" s="3">
        <v>242.55</v>
      </c>
      <c r="N73" s="3">
        <f>ABS(Table1[[#This Row],[Closing SIX]]-Table1[[#This Row],[Closing MarketStack unAdj]])</f>
        <v>0</v>
      </c>
      <c r="O73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73" s="3">
        <v>242.34</v>
      </c>
      <c r="Q73" s="3">
        <v>242.55</v>
      </c>
      <c r="R73" s="3">
        <f>ABS(Table1[[#This Row],[Closing MarketStack adj]]-Table1[[#This Row],[Closing StockData]])</f>
        <v>0.21000000000000796</v>
      </c>
      <c r="S73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0.20 - 0.40</v>
      </c>
    </row>
    <row r="74" spans="1:19" x14ac:dyDescent="0.25">
      <c r="A74" t="s">
        <v>83</v>
      </c>
      <c r="B74" s="5">
        <v>239.96</v>
      </c>
      <c r="C74" s="5">
        <v>240</v>
      </c>
      <c r="D74" s="5">
        <v>240</v>
      </c>
      <c r="E74" s="5">
        <f>ABS(Table1[[#This Row],[Opening-SIX]]-Table1[[#This Row],[Opening MarketStack unAdj]])</f>
        <v>3.9999999999992042E-2</v>
      </c>
      <c r="F74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G74" s="5">
        <v>239.86</v>
      </c>
      <c r="H74" s="5">
        <v>240</v>
      </c>
      <c r="I74" s="5">
        <f>ABS(Table1[[#This Row],[Opening MarketStack adj]]-Table1[[#This Row],[Opening StockData]])</f>
        <v>0.13999999999998636</v>
      </c>
      <c r="J74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K74" s="3">
        <v>241.28</v>
      </c>
      <c r="L74" s="3">
        <v>241.28</v>
      </c>
      <c r="M74" s="3">
        <v>241.28</v>
      </c>
      <c r="N74" s="3">
        <f>ABS(Table1[[#This Row],[Closing SIX]]-Table1[[#This Row],[Closing MarketStack unAdj]])</f>
        <v>0</v>
      </c>
      <c r="O74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74" s="3">
        <v>241.24</v>
      </c>
      <c r="Q74" s="3">
        <v>241.28</v>
      </c>
      <c r="R74" s="3">
        <f>ABS(Table1[[#This Row],[Closing MarketStack adj]]-Table1[[#This Row],[Closing StockData]])</f>
        <v>3.9999999999992042E-2</v>
      </c>
      <c r="S74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75" spans="1:19" x14ac:dyDescent="0.25">
      <c r="A75" t="s">
        <v>84</v>
      </c>
      <c r="B75" s="5">
        <v>239.38</v>
      </c>
      <c r="C75" s="5">
        <v>239.57</v>
      </c>
      <c r="D75" s="5">
        <v>239.57</v>
      </c>
      <c r="E75" s="5">
        <f>ABS(Table1[[#This Row],[Opening-SIX]]-Table1[[#This Row],[Opening MarketStack unAdj]])</f>
        <v>0.18999999999999773</v>
      </c>
      <c r="F75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G75" s="5">
        <v>239.68</v>
      </c>
      <c r="H75" s="5">
        <v>239.57</v>
      </c>
      <c r="I75" s="5">
        <f>ABS(Table1[[#This Row],[Opening MarketStack adj]]-Table1[[#This Row],[Opening StockData]])</f>
        <v>0.11000000000001364</v>
      </c>
      <c r="J75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K75" s="3">
        <v>239.45</v>
      </c>
      <c r="L75" s="3">
        <v>239.45</v>
      </c>
      <c r="M75" s="3">
        <v>239.45</v>
      </c>
      <c r="N75" s="3">
        <f>ABS(Table1[[#This Row],[Closing SIX]]-Table1[[#This Row],[Closing MarketStack unAdj]])</f>
        <v>0</v>
      </c>
      <c r="O75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75" s="3">
        <v>239.36</v>
      </c>
      <c r="Q75" s="3">
        <v>239.45</v>
      </c>
      <c r="R75" s="3">
        <f>ABS(Table1[[#This Row],[Closing MarketStack adj]]-Table1[[#This Row],[Closing StockData]])</f>
        <v>8.9999999999974989E-2</v>
      </c>
      <c r="S75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76" spans="1:19" x14ac:dyDescent="0.25">
      <c r="A76" t="s">
        <v>85</v>
      </c>
      <c r="B76" s="5">
        <v>237.62</v>
      </c>
      <c r="C76" s="5">
        <v>237.61</v>
      </c>
      <c r="D76" s="5">
        <v>237.61</v>
      </c>
      <c r="E76" s="5">
        <f>ABS(Table1[[#This Row],[Opening-SIX]]-Table1[[#This Row],[Opening MarketStack unAdj]])</f>
        <v>9.9999999999909051E-3</v>
      </c>
      <c r="F76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G76" s="5">
        <v>237.59</v>
      </c>
      <c r="H76" s="5">
        <v>237.61</v>
      </c>
      <c r="I76" s="5">
        <f>ABS(Table1[[#This Row],[Opening MarketStack adj]]-Table1[[#This Row],[Opening StockData]])</f>
        <v>2.0000000000010232E-2</v>
      </c>
      <c r="J76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K76" s="3">
        <v>239.72</v>
      </c>
      <c r="L76" s="3">
        <v>239.72</v>
      </c>
      <c r="M76" s="3">
        <v>239.72</v>
      </c>
      <c r="N76" s="3">
        <f>ABS(Table1[[#This Row],[Closing SIX]]-Table1[[#This Row],[Closing MarketStack unAdj]])</f>
        <v>0</v>
      </c>
      <c r="O76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76" s="3">
        <v>239.71</v>
      </c>
      <c r="Q76" s="3">
        <v>239.72</v>
      </c>
      <c r="R76" s="3">
        <f>ABS(Table1[[#This Row],[Closing MarketStack adj]]-Table1[[#This Row],[Closing StockData]])</f>
        <v>9.9999999999909051E-3</v>
      </c>
      <c r="S76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77" spans="1:19" x14ac:dyDescent="0.25">
      <c r="A77" t="s">
        <v>86</v>
      </c>
      <c r="B77" s="5">
        <v>237</v>
      </c>
      <c r="C77" s="5">
        <v>238.25</v>
      </c>
      <c r="D77" s="5">
        <v>238.25</v>
      </c>
      <c r="E77" s="5">
        <f>ABS(Table1[[#This Row],[Opening-SIX]]-Table1[[#This Row],[Opening MarketStack unAdj]])</f>
        <v>1.25</v>
      </c>
      <c r="F77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1.00 &lt;</v>
      </c>
      <c r="G77" s="5">
        <v>238.98</v>
      </c>
      <c r="H77" s="5">
        <v>238.25</v>
      </c>
      <c r="I77" s="5">
        <f>ABS(Table1[[#This Row],[Opening MarketStack adj]]-Table1[[#This Row],[Opening StockData]])</f>
        <v>0.72999999999998977</v>
      </c>
      <c r="J77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0.60 - 0.80</v>
      </c>
      <c r="K77" s="3">
        <v>237.11</v>
      </c>
      <c r="L77" s="3">
        <v>237.11</v>
      </c>
      <c r="M77" s="3">
        <v>237.11</v>
      </c>
      <c r="N77" s="3">
        <f>ABS(Table1[[#This Row],[Closing SIX]]-Table1[[#This Row],[Closing MarketStack unAdj]])</f>
        <v>0</v>
      </c>
      <c r="O77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77" s="3">
        <v>237.1</v>
      </c>
      <c r="Q77" s="3">
        <v>237.11</v>
      </c>
      <c r="R77" s="3">
        <f>ABS(Table1[[#This Row],[Closing MarketStack adj]]-Table1[[#This Row],[Closing StockData]])</f>
        <v>1.0000000000019327E-2</v>
      </c>
      <c r="S77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78" spans="1:19" x14ac:dyDescent="0.25">
      <c r="A78" t="s">
        <v>87</v>
      </c>
      <c r="B78" s="5">
        <v>236.5</v>
      </c>
      <c r="C78" s="5">
        <v>236.2</v>
      </c>
      <c r="D78" s="5">
        <v>236.2</v>
      </c>
      <c r="E78" s="5">
        <f>ABS(Table1[[#This Row],[Opening-SIX]]-Table1[[#This Row],[Opening MarketStack unAdj]])</f>
        <v>0.30000000000001137</v>
      </c>
      <c r="F78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0.20 - 0.40</v>
      </c>
      <c r="G78" s="5">
        <v>236.51</v>
      </c>
      <c r="H78" s="5">
        <v>236.2</v>
      </c>
      <c r="I78" s="5">
        <f>ABS(Table1[[#This Row],[Opening MarketStack adj]]-Table1[[#This Row],[Opening StockData]])</f>
        <v>0.31000000000000227</v>
      </c>
      <c r="J78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0.20 - 0.40</v>
      </c>
      <c r="K78" s="3">
        <v>240.07</v>
      </c>
      <c r="L78" s="3">
        <v>240.07</v>
      </c>
      <c r="M78" s="3">
        <v>240.07</v>
      </c>
      <c r="N78" s="3">
        <f>ABS(Table1[[#This Row],[Closing SIX]]-Table1[[#This Row],[Closing MarketStack unAdj]])</f>
        <v>0</v>
      </c>
      <c r="O78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78" s="3">
        <v>240.1</v>
      </c>
      <c r="Q78" s="3">
        <v>240.07</v>
      </c>
      <c r="R78" s="3">
        <f>ABS(Table1[[#This Row],[Closing MarketStack adj]]-Table1[[#This Row],[Closing StockData]])</f>
        <v>3.0000000000001137E-2</v>
      </c>
      <c r="S78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79" spans="1:19" x14ac:dyDescent="0.25">
      <c r="A79" t="s">
        <v>88</v>
      </c>
      <c r="B79" s="5">
        <v>236.53</v>
      </c>
      <c r="C79" s="5">
        <v>236.53</v>
      </c>
      <c r="D79" s="5">
        <v>236.53</v>
      </c>
      <c r="E79" s="5">
        <f>ABS(Table1[[#This Row],[Opening-SIX]]-Table1[[#This Row],[Opening MarketStack unAdj]])</f>
        <v>0</v>
      </c>
      <c r="F79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G79" s="5">
        <v>236.53</v>
      </c>
      <c r="H79" s="5">
        <v>236.53</v>
      </c>
      <c r="I79" s="5">
        <f>ABS(Table1[[#This Row],[Opening MarketStack adj]]-Table1[[#This Row],[Opening StockData]])</f>
        <v>0</v>
      </c>
      <c r="J79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K79" s="3">
        <v>234.77</v>
      </c>
      <c r="L79" s="3">
        <v>234.77</v>
      </c>
      <c r="M79" s="3">
        <v>234.77</v>
      </c>
      <c r="N79" s="3">
        <f>ABS(Table1[[#This Row],[Closing SIX]]-Table1[[#This Row],[Closing MarketStack unAdj]])</f>
        <v>0</v>
      </c>
      <c r="O79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79" s="3">
        <v>234.75</v>
      </c>
      <c r="Q79" s="3">
        <v>234.77</v>
      </c>
      <c r="R79" s="3">
        <f>ABS(Table1[[#This Row],[Closing MarketStack adj]]-Table1[[#This Row],[Closing StockData]])</f>
        <v>2.0000000000010232E-2</v>
      </c>
      <c r="S79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80" spans="1:19" x14ac:dyDescent="0.25">
      <c r="A80" t="s">
        <v>89</v>
      </c>
      <c r="B80" s="5">
        <v>242.14</v>
      </c>
      <c r="C80" s="5">
        <v>242.24</v>
      </c>
      <c r="D80" s="5">
        <v>242.24</v>
      </c>
      <c r="E80" s="5">
        <f>ABS(Table1[[#This Row],[Opening-SIX]]-Table1[[#This Row],[Opening MarketStack unAdj]])</f>
        <v>0.10000000000002274</v>
      </c>
      <c r="F80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G80" s="5">
        <v>242.16</v>
      </c>
      <c r="H80" s="5">
        <v>242.24</v>
      </c>
      <c r="I80" s="5">
        <f>ABS(Table1[[#This Row],[Opening MarketStack adj]]-Table1[[#This Row],[Opening StockData]])</f>
        <v>8.0000000000012506E-2</v>
      </c>
      <c r="J80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K80" s="3">
        <v>236.3</v>
      </c>
      <c r="L80" s="3">
        <v>236.3</v>
      </c>
      <c r="M80" s="3">
        <v>236.3</v>
      </c>
      <c r="N80" s="3">
        <f>ABS(Table1[[#This Row],[Closing SIX]]-Table1[[#This Row],[Closing MarketStack unAdj]])</f>
        <v>0</v>
      </c>
      <c r="O80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80" s="3">
        <v>236.28</v>
      </c>
      <c r="Q80" s="3">
        <v>236.3</v>
      </c>
      <c r="R80" s="3">
        <f>ABS(Table1[[#This Row],[Closing MarketStack adj]]-Table1[[#This Row],[Closing StockData]])</f>
        <v>2.0000000000010232E-2</v>
      </c>
      <c r="S80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81" spans="1:19" x14ac:dyDescent="0.25">
      <c r="A81" t="s">
        <v>90</v>
      </c>
      <c r="B81" s="5">
        <v>248.88</v>
      </c>
      <c r="C81" s="5">
        <v>248.88</v>
      </c>
      <c r="D81" s="5">
        <v>248.88</v>
      </c>
      <c r="E81" s="5">
        <f>ABS(Table1[[#This Row],[Opening-SIX]]-Table1[[#This Row],[Opening MarketStack unAdj]])</f>
        <v>0</v>
      </c>
      <c r="F81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G81" s="5">
        <v>248.64</v>
      </c>
      <c r="H81" s="5">
        <v>248.88</v>
      </c>
      <c r="I81" s="5">
        <f>ABS(Table1[[#This Row],[Opening MarketStack adj]]-Table1[[#This Row],[Opening StockData]])</f>
        <v>0.24000000000000909</v>
      </c>
      <c r="J81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0.20 - 0.40</v>
      </c>
      <c r="K81" s="3">
        <v>242.27</v>
      </c>
      <c r="L81" s="3">
        <v>242.27</v>
      </c>
      <c r="M81" s="3">
        <v>242.27</v>
      </c>
      <c r="N81" s="3">
        <f>ABS(Table1[[#This Row],[Closing SIX]]-Table1[[#This Row],[Closing MarketStack unAdj]])</f>
        <v>0</v>
      </c>
      <c r="O81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81" s="3">
        <v>242.08</v>
      </c>
      <c r="Q81" s="3">
        <v>242.27</v>
      </c>
      <c r="R81" s="3">
        <f>ABS(Table1[[#This Row],[Closing MarketStack adj]]-Table1[[#This Row],[Closing StockData]])</f>
        <v>0.18999999999999773</v>
      </c>
      <c r="S81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82" spans="1:19" x14ac:dyDescent="0.25">
      <c r="A82" t="s">
        <v>91</v>
      </c>
      <c r="B82" s="5">
        <v>252.98</v>
      </c>
      <c r="C82" s="5">
        <v>252.81</v>
      </c>
      <c r="D82" s="5">
        <v>252.81</v>
      </c>
      <c r="E82" s="5">
        <f>ABS(Table1[[#This Row],[Opening-SIX]]-Table1[[#This Row],[Opening MarketStack unAdj]])</f>
        <v>0.16999999999998749</v>
      </c>
      <c r="F82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G82" s="5">
        <v>253.18</v>
      </c>
      <c r="H82" s="5">
        <v>252.81</v>
      </c>
      <c r="I82" s="5">
        <f>ABS(Table1[[#This Row],[Opening MarketStack adj]]-Table1[[#This Row],[Opening StockData]])</f>
        <v>0.37000000000000455</v>
      </c>
      <c r="J82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0.20 - 0.40</v>
      </c>
      <c r="K82" s="3">
        <v>250.16</v>
      </c>
      <c r="L82" s="3">
        <v>250.16</v>
      </c>
      <c r="M82" s="3">
        <v>250.16</v>
      </c>
      <c r="N82" s="3">
        <f>ABS(Table1[[#This Row],[Closing SIX]]-Table1[[#This Row],[Closing MarketStack unAdj]])</f>
        <v>0</v>
      </c>
      <c r="O82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82" s="3">
        <v>250.08</v>
      </c>
      <c r="Q82" s="3">
        <v>250.16</v>
      </c>
      <c r="R82" s="3">
        <f>ABS(Table1[[#This Row],[Closing MarketStack adj]]-Table1[[#This Row],[Closing StockData]])</f>
        <v>7.9999999999984084E-2</v>
      </c>
      <c r="S82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83" spans="1:19" x14ac:dyDescent="0.25">
      <c r="A83" t="s">
        <v>92</v>
      </c>
      <c r="B83" s="5">
        <v>250.7</v>
      </c>
      <c r="C83" s="5">
        <v>251.53</v>
      </c>
      <c r="D83" s="5">
        <v>251.53</v>
      </c>
      <c r="E83" s="5">
        <f>ABS(Table1[[#This Row],[Opening-SIX]]-Table1[[#This Row],[Opening MarketStack unAdj]])</f>
        <v>0.83000000000001251</v>
      </c>
      <c r="F83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0.80 - 1.00</v>
      </c>
      <c r="G83" s="5">
        <v>250.78</v>
      </c>
      <c r="H83" s="5">
        <v>251.53</v>
      </c>
      <c r="I83" s="5">
        <f>ABS(Table1[[#This Row],[Opening MarketStack adj]]-Table1[[#This Row],[Opening StockData]])</f>
        <v>0.75</v>
      </c>
      <c r="J83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0.60 - 0.80</v>
      </c>
      <c r="K83" s="3">
        <v>252.28</v>
      </c>
      <c r="L83" s="3">
        <v>252.28</v>
      </c>
      <c r="M83" s="3">
        <v>252.28</v>
      </c>
      <c r="N83" s="3">
        <f>ABS(Table1[[#This Row],[Closing SIX]]-Table1[[#This Row],[Closing MarketStack unAdj]])</f>
        <v>0</v>
      </c>
      <c r="O83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83" s="3">
        <v>252.27</v>
      </c>
      <c r="Q83" s="3">
        <v>252.28</v>
      </c>
      <c r="R83" s="3">
        <f>ABS(Table1[[#This Row],[Closing MarketStack adj]]-Table1[[#This Row],[Closing StockData]])</f>
        <v>9.9999999999909051E-3</v>
      </c>
      <c r="S83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84" spans="1:19" x14ac:dyDescent="0.25">
      <c r="A84" t="s">
        <v>93</v>
      </c>
      <c r="B84" s="5">
        <v>251.74</v>
      </c>
      <c r="C84" s="5">
        <v>252</v>
      </c>
      <c r="D84" s="5">
        <v>252</v>
      </c>
      <c r="E84" s="5">
        <f>ABS(Table1[[#This Row],[Opening-SIX]]-Table1[[#This Row],[Opening MarketStack unAdj]])</f>
        <v>0.25999999999999091</v>
      </c>
      <c r="F84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0.20 - 0.40</v>
      </c>
      <c r="G84" s="5">
        <v>252.05</v>
      </c>
      <c r="H84" s="5">
        <v>252</v>
      </c>
      <c r="I84" s="5">
        <f>ABS(Table1[[#This Row],[Opening MarketStack adj]]-Table1[[#This Row],[Opening StockData]])</f>
        <v>5.0000000000011369E-2</v>
      </c>
      <c r="J84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K84" s="3">
        <v>250.67</v>
      </c>
      <c r="L84" s="3">
        <v>250.67</v>
      </c>
      <c r="M84" s="3">
        <v>250.67</v>
      </c>
      <c r="N84" s="3">
        <f>ABS(Table1[[#This Row],[Closing SIX]]-Table1[[#This Row],[Closing MarketStack unAdj]])</f>
        <v>0</v>
      </c>
      <c r="O84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84" s="3">
        <v>250.69</v>
      </c>
      <c r="Q84" s="3">
        <v>250.67</v>
      </c>
      <c r="R84" s="3">
        <f>ABS(Table1[[#This Row],[Closing MarketStack adj]]-Table1[[#This Row],[Closing StockData]])</f>
        <v>2.0000000000010232E-2</v>
      </c>
      <c r="S84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85" spans="1:19" x14ac:dyDescent="0.25">
      <c r="A85" t="s">
        <v>94</v>
      </c>
      <c r="B85" s="5">
        <v>251.2</v>
      </c>
      <c r="C85" s="5">
        <v>251.05</v>
      </c>
      <c r="D85" s="5">
        <v>251.05</v>
      </c>
      <c r="E85" s="5">
        <f>ABS(Table1[[#This Row],[Opening-SIX]]-Table1[[#This Row],[Opening MarketStack unAdj]])</f>
        <v>0.14999999999997726</v>
      </c>
      <c r="F85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G85" s="5">
        <v>251.27</v>
      </c>
      <c r="H85" s="5">
        <v>251.05</v>
      </c>
      <c r="I85" s="5">
        <f>ABS(Table1[[#This Row],[Opening MarketStack adj]]-Table1[[#This Row],[Opening StockData]])</f>
        <v>0.21999999999999886</v>
      </c>
      <c r="J85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0.20 - 0.40</v>
      </c>
      <c r="K85" s="3">
        <v>251.98</v>
      </c>
      <c r="L85" s="3">
        <v>251.98</v>
      </c>
      <c r="M85" s="3">
        <v>251.98</v>
      </c>
      <c r="N85" s="3">
        <f>ABS(Table1[[#This Row],[Closing SIX]]-Table1[[#This Row],[Closing MarketStack unAdj]])</f>
        <v>0</v>
      </c>
      <c r="O85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85" s="3">
        <v>252.01</v>
      </c>
      <c r="Q85" s="3">
        <v>251.98</v>
      </c>
      <c r="R85" s="3">
        <f>ABS(Table1[[#This Row],[Closing MarketStack adj]]-Table1[[#This Row],[Closing StockData]])</f>
        <v>3.0000000000001137E-2</v>
      </c>
      <c r="S85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86" spans="1:19" x14ac:dyDescent="0.25">
      <c r="A86" t="s">
        <v>95</v>
      </c>
      <c r="B86" s="5">
        <v>251.3</v>
      </c>
      <c r="C86" s="5">
        <v>251.405</v>
      </c>
      <c r="D86" s="5">
        <v>251.41</v>
      </c>
      <c r="E86" s="5">
        <f>ABS(Table1[[#This Row],[Opening-SIX]]-Table1[[#This Row],[Opening MarketStack unAdj]])</f>
        <v>0.10999999999998522</v>
      </c>
      <c r="F86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G86" s="5">
        <v>251.4</v>
      </c>
      <c r="H86" s="5">
        <v>251.405</v>
      </c>
      <c r="I86" s="5">
        <f>ABS(Table1[[#This Row],[Opening MarketStack adj]]-Table1[[#This Row],[Opening StockData]])</f>
        <v>4.9999999999954525E-3</v>
      </c>
      <c r="J86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K86" s="3">
        <v>250.05</v>
      </c>
      <c r="L86" s="3">
        <v>250.05</v>
      </c>
      <c r="M86" s="3">
        <v>250.05</v>
      </c>
      <c r="N86" s="3">
        <f>ABS(Table1[[#This Row],[Closing SIX]]-Table1[[#This Row],[Closing MarketStack unAdj]])</f>
        <v>0</v>
      </c>
      <c r="O86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86" s="3">
        <v>250.09</v>
      </c>
      <c r="Q86" s="3">
        <v>250.05</v>
      </c>
      <c r="R86" s="3">
        <f>ABS(Table1[[#This Row],[Closing MarketStack adj]]-Table1[[#This Row],[Closing StockData]])</f>
        <v>3.9999999999992042E-2</v>
      </c>
      <c r="S86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87" spans="1:19" x14ac:dyDescent="0.25">
      <c r="A87" t="s">
        <v>96</v>
      </c>
      <c r="B87" s="5">
        <v>258.64</v>
      </c>
      <c r="C87" s="5">
        <v>259.57</v>
      </c>
      <c r="D87" s="5">
        <v>259.57</v>
      </c>
      <c r="E87" s="5">
        <f>ABS(Table1[[#This Row],[Opening-SIX]]-Table1[[#This Row],[Opening MarketStack unAdj]])</f>
        <v>0.93000000000000682</v>
      </c>
      <c r="F87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0.80 - 1.00</v>
      </c>
      <c r="G87" s="5">
        <v>259.14</v>
      </c>
      <c r="H87" s="5">
        <v>259.57</v>
      </c>
      <c r="I87" s="5">
        <f>ABS(Table1[[#This Row],[Opening MarketStack adj]]-Table1[[#This Row],[Opening StockData]])</f>
        <v>0.43000000000000682</v>
      </c>
      <c r="J87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0.40 - 0.60</v>
      </c>
      <c r="K87" s="3">
        <v>253.15</v>
      </c>
      <c r="L87" s="3">
        <v>253.15</v>
      </c>
      <c r="M87" s="3">
        <v>253.15</v>
      </c>
      <c r="N87" s="3">
        <f>ABS(Table1[[#This Row],[Closing SIX]]-Table1[[#This Row],[Closing MarketStack unAdj]])</f>
        <v>0</v>
      </c>
      <c r="O87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87" s="3">
        <v>253.12</v>
      </c>
      <c r="Q87" s="3">
        <v>253.15</v>
      </c>
      <c r="R87" s="3">
        <f>ABS(Table1[[#This Row],[Closing MarketStack adj]]-Table1[[#This Row],[Closing StockData]])</f>
        <v>3.0000000000001137E-2</v>
      </c>
      <c r="S87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88" spans="1:19" x14ac:dyDescent="0.25">
      <c r="A88" t="s">
        <v>97</v>
      </c>
      <c r="B88" s="5">
        <v>261.25</v>
      </c>
      <c r="C88" s="5">
        <v>261.60000000000002</v>
      </c>
      <c r="D88" s="5">
        <v>261.60000000000002</v>
      </c>
      <c r="E88" s="5">
        <f>ABS(Table1[[#This Row],[Opening-SIX]]-Table1[[#This Row],[Opening MarketStack unAdj]])</f>
        <v>0.35000000000002274</v>
      </c>
      <c r="F88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0.20 - 0.40</v>
      </c>
      <c r="G88" s="5">
        <v>261</v>
      </c>
      <c r="H88" s="5">
        <v>261.60000000000002</v>
      </c>
      <c r="I88" s="5">
        <f>ABS(Table1[[#This Row],[Opening MarketStack adj]]-Table1[[#This Row],[Opening StockData]])</f>
        <v>0.60000000000002274</v>
      </c>
      <c r="J88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0.60 - 0.80</v>
      </c>
      <c r="K88" s="3">
        <v>260.26</v>
      </c>
      <c r="L88" s="3">
        <v>260.26</v>
      </c>
      <c r="M88" s="3">
        <v>260.26</v>
      </c>
      <c r="N88" s="3">
        <f>ABS(Table1[[#This Row],[Closing SIX]]-Table1[[#This Row],[Closing MarketStack unAdj]])</f>
        <v>0</v>
      </c>
      <c r="O88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88" s="3">
        <v>260.27</v>
      </c>
      <c r="Q88" s="3">
        <v>260.26</v>
      </c>
      <c r="R88" s="3">
        <f>ABS(Table1[[#This Row],[Closing MarketStack adj]]-Table1[[#This Row],[Closing StockData]])</f>
        <v>9.9999999999909051E-3</v>
      </c>
      <c r="S88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89" spans="1:19" x14ac:dyDescent="0.25">
      <c r="A89" t="s">
        <v>98</v>
      </c>
      <c r="B89" s="5">
        <v>265</v>
      </c>
      <c r="C89" s="5">
        <v>264.3</v>
      </c>
      <c r="D89" s="5">
        <v>264.3</v>
      </c>
      <c r="E89" s="5">
        <f>ABS(Table1[[#This Row],[Opening-SIX]]-Table1[[#This Row],[Opening MarketStack unAdj]])</f>
        <v>0.69999999999998863</v>
      </c>
      <c r="F89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0.60 - 0.80</v>
      </c>
      <c r="G89" s="5">
        <v>264.32</v>
      </c>
      <c r="H89" s="5">
        <v>264.3</v>
      </c>
      <c r="I89" s="5">
        <f>ABS(Table1[[#This Row],[Opening MarketStack adj]]-Table1[[#This Row],[Opening StockData]])</f>
        <v>1.999999999998181E-2</v>
      </c>
      <c r="J89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K89" s="3">
        <v>262.41000000000003</v>
      </c>
      <c r="L89" s="3">
        <v>262.41000000000003</v>
      </c>
      <c r="M89" s="3">
        <v>262.41000000000003</v>
      </c>
      <c r="N89" s="3">
        <f>ABS(Table1[[#This Row],[Closing SIX]]-Table1[[#This Row],[Closing MarketStack unAdj]])</f>
        <v>0</v>
      </c>
      <c r="O89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89" s="3">
        <v>262.47000000000003</v>
      </c>
      <c r="Q89" s="3">
        <v>262.41000000000003</v>
      </c>
      <c r="R89" s="3">
        <f>ABS(Table1[[#This Row],[Closing MarketStack adj]]-Table1[[#This Row],[Closing StockData]])</f>
        <v>6.0000000000002274E-2</v>
      </c>
      <c r="S89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90" spans="1:19" x14ac:dyDescent="0.25">
      <c r="A90" t="s">
        <v>99</v>
      </c>
      <c r="B90" s="5">
        <v>260</v>
      </c>
      <c r="C90" s="5">
        <v>260.3</v>
      </c>
      <c r="D90" s="5">
        <v>260.3</v>
      </c>
      <c r="E90" s="5">
        <f>ABS(Table1[[#This Row],[Opening-SIX]]-Table1[[#This Row],[Opening MarketStack unAdj]])</f>
        <v>0.30000000000001137</v>
      </c>
      <c r="F90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0.20 - 0.40</v>
      </c>
      <c r="G90" s="5">
        <v>260.19</v>
      </c>
      <c r="H90" s="5">
        <v>260.3</v>
      </c>
      <c r="I90" s="5">
        <f>ABS(Table1[[#This Row],[Opening MarketStack adj]]-Table1[[#This Row],[Opening StockData]])</f>
        <v>0.11000000000001364</v>
      </c>
      <c r="J90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K90" s="3">
        <v>263.20999999999998</v>
      </c>
      <c r="L90" s="3">
        <v>263.20999999999998</v>
      </c>
      <c r="M90" s="3">
        <v>263.20999999999998</v>
      </c>
      <c r="N90" s="3">
        <f>ABS(Table1[[#This Row],[Closing SIX]]-Table1[[#This Row],[Closing MarketStack unAdj]])</f>
        <v>0</v>
      </c>
      <c r="O90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90" s="3">
        <v>263.24</v>
      </c>
      <c r="Q90" s="3">
        <v>263.20999999999998</v>
      </c>
      <c r="R90" s="3">
        <f>ABS(Table1[[#This Row],[Closing MarketStack adj]]-Table1[[#This Row],[Closing StockData]])</f>
        <v>3.0000000000029559E-2</v>
      </c>
      <c r="S90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91" spans="1:19" x14ac:dyDescent="0.25">
      <c r="A91" t="s">
        <v>100</v>
      </c>
      <c r="B91" s="5">
        <v>260.02</v>
      </c>
      <c r="C91" s="5">
        <v>260.02</v>
      </c>
      <c r="D91" s="5">
        <v>260.02</v>
      </c>
      <c r="E91" s="5">
        <f>ABS(Table1[[#This Row],[Opening-SIX]]-Table1[[#This Row],[Opening MarketStack unAdj]])</f>
        <v>0</v>
      </c>
      <c r="F91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G91" s="5">
        <v>259.99</v>
      </c>
      <c r="H91" s="5">
        <v>260.02</v>
      </c>
      <c r="I91" s="5">
        <f>ABS(Table1[[#This Row],[Opening MarketStack adj]]-Table1[[#This Row],[Opening StockData]])</f>
        <v>2.9999999999972715E-2</v>
      </c>
      <c r="J91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K91" s="3">
        <v>259.72000000000003</v>
      </c>
      <c r="L91" s="3">
        <v>259.72000000000003</v>
      </c>
      <c r="M91" s="3">
        <v>259.72000000000003</v>
      </c>
      <c r="N91" s="3">
        <f>ABS(Table1[[#This Row],[Closing SIX]]-Table1[[#This Row],[Closing MarketStack unAdj]])</f>
        <v>0</v>
      </c>
      <c r="O91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91" s="3">
        <v>259.74</v>
      </c>
      <c r="Q91" s="3">
        <v>259.72000000000003</v>
      </c>
      <c r="R91" s="3">
        <f>ABS(Table1[[#This Row],[Closing MarketStack adj]]-Table1[[#This Row],[Closing StockData]])</f>
        <v>1.999999999998181E-2</v>
      </c>
      <c r="S91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92" spans="1:19" x14ac:dyDescent="0.25">
      <c r="A92" t="s">
        <v>101</v>
      </c>
      <c r="B92" s="5">
        <v>260</v>
      </c>
      <c r="C92" s="5">
        <v>261.25</v>
      </c>
      <c r="D92" s="5">
        <v>261.25</v>
      </c>
      <c r="E92" s="5">
        <f>ABS(Table1[[#This Row],[Opening-SIX]]-Table1[[#This Row],[Opening MarketStack unAdj]])</f>
        <v>1.25</v>
      </c>
      <c r="F92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1.00 &lt;</v>
      </c>
      <c r="G92" s="5">
        <v>257.24</v>
      </c>
      <c r="H92" s="5">
        <v>261.25</v>
      </c>
      <c r="I92" s="5">
        <f>ABS(Table1[[#This Row],[Opening MarketStack adj]]-Table1[[#This Row],[Opening StockData]])</f>
        <v>4.0099999999999909</v>
      </c>
      <c r="J92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1.00 &lt;</v>
      </c>
      <c r="K92" s="3">
        <v>260.51</v>
      </c>
      <c r="L92" s="3">
        <v>260.51</v>
      </c>
      <c r="M92" s="3">
        <v>260.51</v>
      </c>
      <c r="N92" s="3">
        <f>ABS(Table1[[#This Row],[Closing SIX]]-Table1[[#This Row],[Closing MarketStack unAdj]])</f>
        <v>0</v>
      </c>
      <c r="O92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92" s="3">
        <v>260.52</v>
      </c>
      <c r="Q92" s="3">
        <v>260.51</v>
      </c>
      <c r="R92" s="3">
        <f>ABS(Table1[[#This Row],[Closing MarketStack adj]]-Table1[[#This Row],[Closing StockData]])</f>
        <v>9.9999999999909051E-3</v>
      </c>
      <c r="S92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93" spans="1:19" x14ac:dyDescent="0.25">
      <c r="A93" t="s">
        <v>102</v>
      </c>
      <c r="B93" s="5">
        <v>284.66000000000003</v>
      </c>
      <c r="C93" s="5">
        <v>284.3</v>
      </c>
      <c r="D93" s="5">
        <v>284.3</v>
      </c>
      <c r="E93" s="5">
        <f>ABS(Table1[[#This Row],[Opening-SIX]]-Table1[[#This Row],[Opening MarketStack unAdj]])</f>
        <v>0.36000000000001364</v>
      </c>
      <c r="F93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0.20 - 0.40</v>
      </c>
      <c r="G93" s="5">
        <v>284.38</v>
      </c>
      <c r="H93" s="5">
        <v>284.3</v>
      </c>
      <c r="I93" s="5">
        <f>ABS(Table1[[#This Row],[Opening MarketStack adj]]-Table1[[#This Row],[Opening StockData]])</f>
        <v>7.9999999999984084E-2</v>
      </c>
      <c r="J93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K93" s="3">
        <v>282.01</v>
      </c>
      <c r="L93" s="3">
        <v>282.01</v>
      </c>
      <c r="M93" s="3">
        <v>282.01</v>
      </c>
      <c r="N93" s="3">
        <f>ABS(Table1[[#This Row],[Closing SIX]]-Table1[[#This Row],[Closing MarketStack unAdj]])</f>
        <v>0</v>
      </c>
      <c r="O93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93" s="3">
        <v>282.05</v>
      </c>
      <c r="Q93" s="3">
        <v>282.01</v>
      </c>
      <c r="R93" s="3">
        <f>ABS(Table1[[#This Row],[Closing MarketStack adj]]-Table1[[#This Row],[Closing StockData]])</f>
        <v>4.0000000000020464E-2</v>
      </c>
      <c r="S93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94" spans="1:19" x14ac:dyDescent="0.25">
      <c r="A94" t="s">
        <v>103</v>
      </c>
      <c r="B94" s="5">
        <v>284</v>
      </c>
      <c r="C94" s="5">
        <v>284.74</v>
      </c>
      <c r="D94" s="5">
        <v>284.74</v>
      </c>
      <c r="E94" s="5">
        <f>ABS(Table1[[#This Row],[Opening-SIX]]-Table1[[#This Row],[Opening MarketStack unAdj]])</f>
        <v>0.74000000000000909</v>
      </c>
      <c r="F94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0.60 - 0.80</v>
      </c>
      <c r="G94" s="5">
        <v>284.74</v>
      </c>
      <c r="H94" s="5">
        <v>284.74</v>
      </c>
      <c r="I94" s="5">
        <f>ABS(Table1[[#This Row],[Opening MarketStack adj]]-Table1[[#This Row],[Opening StockData]])</f>
        <v>0</v>
      </c>
      <c r="J94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K94" s="3">
        <v>281.95999999999998</v>
      </c>
      <c r="L94" s="3">
        <v>281.95999999999998</v>
      </c>
      <c r="M94" s="3">
        <v>281.95999999999998</v>
      </c>
      <c r="N94" s="3">
        <f>ABS(Table1[[#This Row],[Closing SIX]]-Table1[[#This Row],[Closing MarketStack unAdj]])</f>
        <v>0</v>
      </c>
      <c r="O94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94" s="3">
        <v>281.97000000000003</v>
      </c>
      <c r="Q94" s="3">
        <v>281.95999999999998</v>
      </c>
      <c r="R94" s="3">
        <f>ABS(Table1[[#This Row],[Closing MarketStack adj]]-Table1[[#This Row],[Closing StockData]])</f>
        <v>1.0000000000047748E-2</v>
      </c>
      <c r="S94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95" spans="1:19" x14ac:dyDescent="0.25">
      <c r="A95" t="s">
        <v>104</v>
      </c>
      <c r="B95" s="5">
        <v>286</v>
      </c>
      <c r="C95" s="5">
        <v>286.29000000000002</v>
      </c>
      <c r="D95" s="5">
        <v>286.29000000000002</v>
      </c>
      <c r="E95" s="5">
        <f>ABS(Table1[[#This Row],[Opening-SIX]]-Table1[[#This Row],[Opening MarketStack unAdj]])</f>
        <v>0.29000000000002046</v>
      </c>
      <c r="F95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0.20 - 0.40</v>
      </c>
      <c r="G95" s="5">
        <v>285.95999999999998</v>
      </c>
      <c r="H95" s="5">
        <v>286.29000000000002</v>
      </c>
      <c r="I95" s="5">
        <f>ABS(Table1[[#This Row],[Opening MarketStack adj]]-Table1[[#This Row],[Opening StockData]])</f>
        <v>0.33000000000004093</v>
      </c>
      <c r="J95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0.20 - 0.40</v>
      </c>
      <c r="K95" s="3">
        <v>284.70999999999998</v>
      </c>
      <c r="L95" s="3">
        <v>284.70999999999998</v>
      </c>
      <c r="M95" s="3">
        <v>284.70999999999998</v>
      </c>
      <c r="N95" s="3">
        <f>ABS(Table1[[#This Row],[Closing SIX]]-Table1[[#This Row],[Closing MarketStack unAdj]])</f>
        <v>0</v>
      </c>
      <c r="O95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95" s="3">
        <v>284.79000000000002</v>
      </c>
      <c r="Q95" s="3">
        <v>284.70999999999998</v>
      </c>
      <c r="R95" s="3">
        <f>ABS(Table1[[#This Row],[Closing MarketStack adj]]-Table1[[#This Row],[Closing StockData]])</f>
        <v>8.0000000000040927E-2</v>
      </c>
      <c r="S95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96" spans="1:19" x14ac:dyDescent="0.25">
      <c r="A96" t="s">
        <v>105</v>
      </c>
      <c r="B96" s="5">
        <v>283.33</v>
      </c>
      <c r="C96" s="5">
        <v>283.38</v>
      </c>
      <c r="D96" s="5">
        <v>283.38</v>
      </c>
      <c r="E96" s="5">
        <f>ABS(Table1[[#This Row],[Opening-SIX]]-Table1[[#This Row],[Opening MarketStack unAdj]])</f>
        <v>5.0000000000011369E-2</v>
      </c>
      <c r="F96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G96" s="5">
        <v>282.77</v>
      </c>
      <c r="H96" s="5">
        <v>283.38</v>
      </c>
      <c r="I96" s="5">
        <f>ABS(Table1[[#This Row],[Opening MarketStack adj]]-Table1[[#This Row],[Opening StockData]])</f>
        <v>0.61000000000001364</v>
      </c>
      <c r="J96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0.60 - 0.80</v>
      </c>
      <c r="K96" s="3">
        <v>285.87</v>
      </c>
      <c r="L96" s="3">
        <v>285.87</v>
      </c>
      <c r="M96" s="3">
        <v>285.87</v>
      </c>
      <c r="N96" s="3">
        <f>ABS(Table1[[#This Row],[Closing SIX]]-Table1[[#This Row],[Closing MarketStack unAdj]])</f>
        <v>0</v>
      </c>
      <c r="O96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96" s="3">
        <v>285.99</v>
      </c>
      <c r="Q96" s="3">
        <v>285.87</v>
      </c>
      <c r="R96" s="3">
        <f>ABS(Table1[[#This Row],[Closing MarketStack adj]]-Table1[[#This Row],[Closing StockData]])</f>
        <v>0.12000000000000455</v>
      </c>
      <c r="S96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  <row r="97" spans="1:19" x14ac:dyDescent="0.25">
      <c r="A97" s="1" t="s">
        <v>106</v>
      </c>
      <c r="B97" s="5">
        <v>281.5</v>
      </c>
      <c r="C97" s="5">
        <v>281.5</v>
      </c>
      <c r="D97" s="5">
        <v>281.5</v>
      </c>
      <c r="E97" s="5">
        <f>ABS(Table1[[#This Row],[Opening-SIX]]-Table1[[#This Row],[Opening MarketStack unAdj]])</f>
        <v>0</v>
      </c>
      <c r="F97" s="5" t="str">
        <f>_xlfn.LET(_xlpm.observed_value, Table1[[#This Row],[Diff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G97" s="5">
        <v>281.51</v>
      </c>
      <c r="H97" s="5">
        <v>281.5</v>
      </c>
      <c r="I97" s="5">
        <f>ABS(Table1[[#This Row],[Opening MarketStack adj]]-Table1[[#This Row],[Opening StockData]])</f>
        <v>9.9999999999909051E-3</v>
      </c>
      <c r="J97" s="5" t="str">
        <f>_xlfn.LET(_xlpm.observed_value, Table1[[#This Row],[Diff opening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  <c r="K97" s="3">
        <v>282</v>
      </c>
      <c r="L97" s="3">
        <v>282</v>
      </c>
      <c r="M97" s="3">
        <v>282</v>
      </c>
      <c r="N97" s="3">
        <f>ABS(Table1[[#This Row],[Closing SIX]]-Table1[[#This Row],[Closing MarketStack unAdj]])</f>
        <v>0</v>
      </c>
      <c r="O97" s="3" t="str">
        <f>_xlfn.LET(_xlpm.observed_value, Table1[[#This Row],[diff closing SIX to API]],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</v>
      </c>
      <c r="P97" s="3">
        <v>282.04000000000002</v>
      </c>
      <c r="Q97" s="3">
        <v>282</v>
      </c>
      <c r="R97" s="3">
        <f>ABS(Table1[[#This Row],[Closing MarketStack adj]]-Table1[[#This Row],[Closing StockData]])</f>
        <v>4.0000000000020464E-2</v>
      </c>
      <c r="S97" s="3" t="str">
        <f>_xlfn.LET(_xlpm.observed_value, Table1[[#This Row],[Diff closing adj]],
 IF(_xlpm.observed_value=0,"0",
 IF(AND(_xlpm.observed_value&gt;0,_xlpm.observed_value&lt;=0.2),"0 - 0.20",
 IF(AND(_xlpm.observed_value&gt;0.2,_xlpm.observed_value&lt;=0.4),"0.20 - 0.40",
 IF(AND(_xlpm.observed_value&gt;0.4,_xlpm.observed_value&lt;=0.6),"0.40 - 0.60",
 IF(AND(_xlpm.observed_value&gt;0.6,_xlpm.observed_value&lt;=0.8),"0.60 - 0.80",
 IF(AND(_xlpm.observed_value&gt;0.8,_xlpm.observed_value&lt;=1),"0.80 - 1.00",
 "1.00 &lt;"
)))))))</f>
        <v>0 - 0.20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1DEDB-549F-4909-BFDB-8D590B16C94B}">
  <dimension ref="A1:C17"/>
  <sheetViews>
    <sheetView workbookViewId="0">
      <selection activeCell="C21" sqref="C21"/>
    </sheetView>
  </sheetViews>
  <sheetFormatPr defaultRowHeight="15" x14ac:dyDescent="0.25"/>
  <cols>
    <col min="1" max="1" width="13.140625" bestFit="1" customWidth="1"/>
    <col min="2" max="2" width="43.28515625" bestFit="1" customWidth="1"/>
    <col min="3" max="3" width="40.7109375" bestFit="1" customWidth="1"/>
    <col min="4" max="4" width="20" bestFit="1" customWidth="1"/>
    <col min="5" max="5" width="13.140625" bestFit="1" customWidth="1"/>
    <col min="6" max="6" width="39.5703125" bestFit="1" customWidth="1"/>
    <col min="7" max="15" width="22.42578125" bestFit="1" customWidth="1"/>
    <col min="16" max="16" width="27.42578125" bestFit="1" customWidth="1"/>
    <col min="17" max="17" width="25" bestFit="1" customWidth="1"/>
  </cols>
  <sheetData>
    <row r="1" spans="1:3" x14ac:dyDescent="0.25">
      <c r="A1" t="s">
        <v>122</v>
      </c>
      <c r="B1" t="s">
        <v>123</v>
      </c>
      <c r="C1" t="s">
        <v>124</v>
      </c>
    </row>
    <row r="2" spans="1:3" x14ac:dyDescent="0.25">
      <c r="A2" s="6" t="s">
        <v>111</v>
      </c>
      <c r="B2">
        <f>COUNTIFS(Table1[Categorized diff unadj prices opening],Graphics!$A2)</f>
        <v>42</v>
      </c>
      <c r="C2">
        <f>COUNTIFS(Table1[Categorized diff adj prices opening],Graphics!$A2)</f>
        <v>4</v>
      </c>
    </row>
    <row r="3" spans="1:3" x14ac:dyDescent="0.25">
      <c r="A3" s="6" t="s">
        <v>112</v>
      </c>
      <c r="B3">
        <f>COUNTIFS(Table1[Categorized diff unadj prices opening],Graphics!$A3)</f>
        <v>17</v>
      </c>
      <c r="C3">
        <f>COUNTIFS(Table1[Categorized diff adj prices opening],Graphics!$A3)</f>
        <v>45</v>
      </c>
    </row>
    <row r="4" spans="1:3" x14ac:dyDescent="0.25">
      <c r="A4" s="6" t="s">
        <v>113</v>
      </c>
      <c r="B4">
        <f>COUNTIFS(Table1[Categorized diff unadj prices opening],Graphics!$A4)</f>
        <v>19</v>
      </c>
      <c r="C4">
        <f>COUNTIFS(Table1[Categorized diff adj prices opening],Graphics!$A4)</f>
        <v>23</v>
      </c>
    </row>
    <row r="5" spans="1:3" x14ac:dyDescent="0.25">
      <c r="A5" s="6" t="s">
        <v>114</v>
      </c>
      <c r="B5">
        <f>COUNTIFS(Table1[Categorized diff unadj prices opening],Graphics!$A5)</f>
        <v>7</v>
      </c>
      <c r="C5">
        <f>COUNTIFS(Table1[Categorized diff adj prices opening],Graphics!$A5)</f>
        <v>9</v>
      </c>
    </row>
    <row r="6" spans="1:3" x14ac:dyDescent="0.25">
      <c r="A6" s="6" t="s">
        <v>115</v>
      </c>
      <c r="B6">
        <f>COUNTIFS(Table1[Categorized diff unadj prices opening],Graphics!$A6)</f>
        <v>4</v>
      </c>
      <c r="C6">
        <f>COUNTIFS(Table1[Categorized diff adj prices opening],Graphics!$A6)</f>
        <v>10</v>
      </c>
    </row>
    <row r="7" spans="1:3" x14ac:dyDescent="0.25">
      <c r="A7" s="6" t="s">
        <v>116</v>
      </c>
      <c r="B7">
        <f>COUNTIFS(Table1[Categorized diff unadj prices opening],Graphics!$A7)</f>
        <v>4</v>
      </c>
      <c r="C7">
        <f>COUNTIFS(Table1[Categorized diff adj prices opening],Graphics!$A7)</f>
        <v>2</v>
      </c>
    </row>
    <row r="8" spans="1:3" x14ac:dyDescent="0.25">
      <c r="A8" s="6" t="s">
        <v>117</v>
      </c>
      <c r="B8">
        <f>COUNTIFS(Table1[Categorized diff unadj prices opening],Graphics!$A8)</f>
        <v>3</v>
      </c>
      <c r="C8">
        <f>COUNTIFS(Table1[Categorized diff adj prices opening],Graphics!$A8)</f>
        <v>3</v>
      </c>
    </row>
    <row r="10" spans="1:3" x14ac:dyDescent="0.25">
      <c r="A10" t="s">
        <v>122</v>
      </c>
      <c r="B10" t="s">
        <v>125</v>
      </c>
      <c r="C10" t="s">
        <v>126</v>
      </c>
    </row>
    <row r="11" spans="1:3" x14ac:dyDescent="0.25">
      <c r="A11" s="6" t="s">
        <v>111</v>
      </c>
      <c r="B11">
        <f>COUNTIFS(Table1[Categorized diff unadj prices closing],Graphics!$A11)</f>
        <v>96</v>
      </c>
      <c r="C11">
        <f>COUNTIFS(Table1[Categorized diff adj prices closing],Graphics!$A11)</f>
        <v>3</v>
      </c>
    </row>
    <row r="12" spans="1:3" x14ac:dyDescent="0.25">
      <c r="A12" s="6" t="s">
        <v>112</v>
      </c>
      <c r="B12">
        <f>COUNTIFS(Table1[Categorized diff unadj prices closing],Graphics!$A12)</f>
        <v>0</v>
      </c>
      <c r="C12">
        <f>COUNTIFS(Table1[Categorized diff adj prices closing],Graphics!$A12)</f>
        <v>90</v>
      </c>
    </row>
    <row r="13" spans="1:3" x14ac:dyDescent="0.25">
      <c r="A13" s="6" t="s">
        <v>113</v>
      </c>
      <c r="B13">
        <f>COUNTIFS(Table1[Categorized diff unadj prices closing],Graphics!$A13)</f>
        <v>0</v>
      </c>
      <c r="C13">
        <f>COUNTIFS(Table1[Categorized diff adj prices closing],Graphics!$A13)</f>
        <v>3</v>
      </c>
    </row>
    <row r="14" spans="1:3" x14ac:dyDescent="0.25">
      <c r="A14" s="6" t="s">
        <v>114</v>
      </c>
      <c r="B14">
        <f>COUNTIFS(Table1[Categorized diff unadj prices closing],Graphics!$A14)</f>
        <v>0</v>
      </c>
      <c r="C14">
        <f>COUNTIFS(Table1[Categorized diff adj prices closing],Graphics!$A14)</f>
        <v>0</v>
      </c>
    </row>
    <row r="15" spans="1:3" x14ac:dyDescent="0.25">
      <c r="A15" s="6" t="s">
        <v>115</v>
      </c>
      <c r="B15">
        <f>COUNTIFS(Table1[Categorized diff unadj prices closing],Graphics!$A15)</f>
        <v>0</v>
      </c>
      <c r="C15">
        <f>COUNTIFS(Table1[Categorized diff adj prices closing],Graphics!$A15)</f>
        <v>0</v>
      </c>
    </row>
    <row r="16" spans="1:3" x14ac:dyDescent="0.25">
      <c r="A16" s="6" t="s">
        <v>116</v>
      </c>
      <c r="B16">
        <f>COUNTIFS(Table1[Categorized diff unadj prices closing],Graphics!$A16)</f>
        <v>0</v>
      </c>
      <c r="C16">
        <f>COUNTIFS(Table1[Categorized diff adj prices closing],Graphics!$A16)</f>
        <v>0</v>
      </c>
    </row>
    <row r="17" spans="1:3" x14ac:dyDescent="0.25">
      <c r="A17" s="6" t="s">
        <v>117</v>
      </c>
      <c r="B17">
        <f>COUNTIFS(Table1[Categorized diff unadj prices closing],Graphics!$A17)</f>
        <v>0</v>
      </c>
      <c r="C17">
        <f>COUNTIFS(Table1[Categorized diff adj prices closing],Graphics!$A17)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 Stock-data</vt:lpstr>
      <vt:lpstr>Graphics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Dedola</cp:lastModifiedBy>
  <dcterms:created xsi:type="dcterms:W3CDTF">2025-12-08T21:01:07Z</dcterms:created>
  <dcterms:modified xsi:type="dcterms:W3CDTF">2025-12-19T08:57:57Z</dcterms:modified>
</cp:coreProperties>
</file>